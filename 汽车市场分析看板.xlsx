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769305f51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看板" sheetId="1" r:id="R289c121512734702"/>
    <x:sheet xmlns:r="http://schemas.openxmlformats.org/officeDocument/2006/relationships" name="品牌指标" sheetId="2" r:id="Rdc6faddae5c244ad"/>
    <x:sheet xmlns:r="http://schemas.openxmlformats.org/officeDocument/2006/relationships" name="MPV车系" sheetId="3" r:id="Re48aa29e14bd43c7"/>
    <x:sheet xmlns:r="http://schemas.openxmlformats.org/officeDocument/2006/relationships" name="月度数据" sheetId="4" r:id="Ra0056ff02b994843"/>
    <x:sheet xmlns:r="http://schemas.openxmlformats.org/officeDocument/2006/relationships" name="核验记录" sheetId="5" r:id="R81c97a57c7ab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0.0"/>
  </x:numFmts>
  <x:fonts count="4">
    <x:font>
      <x:sz val="11"/>
      <x:name val="Carlito"/>
    </x:font>
    <x:font>
      <x:sz val="10"/>
      <x:color rgb="FF23364D"/>
      <x:name val="Microsoft YaHei"/>
    </x:font>
    <x:font>
      <x:b/>
      <x:sz val="16"/>
      <x:color rgb="FF24466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94442"/>
      </x:font>
    </x:dxf>
    <x:dxf>
      <x:font>
        <x:color rgb="FFA9444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fbdc1a8b94839" /><Relationship Type="http://schemas.openxmlformats.org/officeDocument/2006/relationships/theme" Target="/xl/theme/theme1.xml" Id="R1636f0a6a3f94bf5" /><Relationship Type="http://schemas.openxmlformats.org/officeDocument/2006/relationships/sharedStrings" Target="/xl/sharedStrings.xml" Id="Rb30552273c034815" /><Relationship Type="http://schemas.openxmlformats.org/officeDocument/2006/relationships/worksheet" Target="/xl/worksheets/sheet1.xml" Id="R289c121512734702" /><Relationship Type="http://schemas.openxmlformats.org/officeDocument/2006/relationships/worksheet" Target="/xl/worksheets/sheet2.xml" Id="Rdc6faddae5c244ad" /><Relationship Type="http://schemas.openxmlformats.org/officeDocument/2006/relationships/worksheet" Target="/xl/worksheets/sheet3.xml" Id="Re48aa29e14bd43c7" /><Relationship Type="http://schemas.openxmlformats.org/officeDocument/2006/relationships/worksheet" Target="/xl/worksheets/sheet4.xml" Id="Ra0056ff02b994843" /><Relationship Type="http://schemas.openxmlformats.org/officeDocument/2006/relationships/worksheet" Target="/xl/worksheets/sheet5.xml" Id="R81c97a57c7ab48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0a3dbe53a44455" /><Relationship Type="http://schemas.openxmlformats.org/officeDocument/2006/relationships/chart" Target="/xl/drawings/charts/chart2.xml" Id="Ra52d2a926c8144a8" /><Relationship Type="http://schemas.openxmlformats.org/officeDocument/2006/relationships/chart" Target="/xl/drawings/charts/chart3.xml" Id="R04dd2f3d3b774c5c" /><Relationship Type="http://schemas.openxmlformats.org/officeDocument/2006/relationships/chart" Target="/xl/drawings/charts/chart4.xml" Id="R4136ecf247bb4a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重点车系月销量（辆，2024—2026）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魏牌 高山</c:v>
          </c:tx>
          <c:spPr>
            <a:solidFill xmlns:a="http://schemas.openxmlformats.org/drawingml/2006/main">
              <a:srgbClr val="24466B"/>
            </a:solidFill>
            <a:ln xmlns:a="http://schemas.openxmlformats.org/drawingml/2006/main" w="19050">
              <a:solidFill>
                <a:srgbClr val="24466B"/>
              </a:solidFill>
              <a:prstDash val="solid"/>
            </a:ln>
          </c:spPr>
          <c:marker>
            <c:symbol val="none"/>
          </c:marker>
          <c:cat>
            <c:strRef>
              <c:f>'月度数据'!$O$7:$O$36</c:f>
              <c:strCache>
                <c:ptCount val="0"/>
              </c:strCache>
            </c:strRef>
          </c:cat>
          <c:val>
            <c:numRef>
              <c:f>'月度数据'!$P$7:$P$36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岚图梦想家</c:v>
          </c:tx>
          <c:spPr>
            <a:solidFill xmlns:a="http://schemas.openxmlformats.org/drawingml/2006/main">
              <a:srgbClr val="2D8B87"/>
            </a:solidFill>
            <a:ln xmlns:a="http://schemas.openxmlformats.org/drawingml/2006/main" w="19050">
              <a:solidFill>
                <a:srgbClr val="2D8B87"/>
              </a:solidFill>
              <a:prstDash val="solid"/>
            </a:ln>
          </c:spPr>
          <c:marker>
            <c:symbol val="none"/>
          </c:marker>
          <c:cat>
            <c:strRef>
              <c:f>'月度数据'!$O$7:$O$36</c:f>
              <c:strCache>
                <c:ptCount val="0"/>
              </c:strCache>
            </c:strRef>
          </c:cat>
          <c:val>
            <c:numRef>
              <c:f>'月度数据'!$Q$7:$Q$36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腾势D9</c:v>
          </c:tx>
          <c:spPr>
            <a:solidFill xmlns:a="http://schemas.openxmlformats.org/drawingml/2006/main">
              <a:srgbClr val="E39E36"/>
            </a:solidFill>
            <a:ln xmlns:a="http://schemas.openxmlformats.org/drawingml/2006/main" w="19050">
              <a:solidFill>
                <a:srgbClr val="E39E36"/>
              </a:solidFill>
              <a:prstDash val="solid"/>
            </a:ln>
          </c:spPr>
          <c:marker>
            <c:symbol val="none"/>
          </c:marker>
          <c:cat>
            <c:strRef>
              <c:f>'月度数据'!$O$7:$O$36</c:f>
              <c:strCache>
                <c:ptCount val="0"/>
              </c:strCache>
            </c:strRef>
          </c:cat>
          <c:val>
            <c:numRef>
              <c:f>'月度数据'!$R$7:$R$36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别克GL8</c:v>
          </c:tx>
          <c:spPr>
            <a:solidFill xmlns:a="http://schemas.openxmlformats.org/drawingml/2006/main">
              <a:srgbClr val="9D5B71"/>
            </a:solidFill>
            <a:ln xmlns:a="http://schemas.openxmlformats.org/drawingml/2006/main" w="19050">
              <a:solidFill>
                <a:srgbClr val="9D5B71"/>
              </a:solidFill>
              <a:prstDash val="solid"/>
            </a:ln>
          </c:spPr>
          <c:marker>
            <c:symbol val="none"/>
          </c:marker>
          <c:cat>
            <c:strRef>
              <c:f>'月度数据'!$O$7:$O$36</c:f>
              <c:strCache>
                <c:ptCount val="0"/>
              </c:strCache>
            </c:strRef>
          </c:cat>
          <c:val>
            <c:numRef>
              <c:f>'月度数据'!$S$7:$S$36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别克GL8新能源</c:v>
          </c:tx>
          <c:spPr>
            <a:solidFill xmlns:a="http://schemas.openxmlformats.org/drawingml/2006/main">
              <a:srgbClr val="71869D"/>
            </a:solidFill>
            <a:ln xmlns:a="http://schemas.openxmlformats.org/drawingml/2006/main" w="19050">
              <a:solidFill>
                <a:srgbClr val="71869D"/>
              </a:solidFill>
              <a:prstDash val="solid"/>
            </a:ln>
          </c:spPr>
          <c:marker>
            <c:symbol val="none"/>
          </c:marker>
          <c:cat>
            <c:strRef>
              <c:f>'月度数据'!$O$7:$O$36</c:f>
              <c:strCache>
                <c:ptCount val="0"/>
              </c:strCache>
            </c:strRef>
          </c:cat>
          <c:val>
            <c:numRef>
              <c:f>'月度数据'!$T$7:$T$36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MPV 品牌销量前八（2025，辆）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2025销量（辆）</c:v>
          </c:tx>
          <c:spPr>
            <a:solidFill xmlns:a="http://schemas.openxmlformats.org/drawingml/2006/main">
              <a:srgbClr val="24466B"/>
            </a:solidFill>
          </c:spPr>
          <c:invertIfNegative val="0"/>
          <c:cat>
            <c:strRef>
              <c:f>'月度数据'!$H$57:$H$64</c:f>
              <c:strCache>
                <c:ptCount val="0"/>
              </c:strCache>
            </c:strRef>
          </c:cat>
          <c:val>
            <c:numRef>
              <c:f>'月度数据'!$I$57:$I$64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MPV 品牌集中度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品牌CR3</c:v>
          </c:tx>
          <c:spPr>
            <a:solidFill xmlns:a="http://schemas.openxmlformats.org/drawingml/2006/main">
              <a:srgbClr val="24466B"/>
            </a:solidFill>
            <a:ln xmlns:a="http://schemas.openxmlformats.org/drawingml/2006/main" w="19050">
              <a:solidFill>
                <a:srgbClr val="24466B"/>
              </a:solidFill>
              <a:prstDash val="solid"/>
            </a:ln>
          </c:spPr>
          <c:marker>
            <c:symbol val="none"/>
          </c:marker>
          <c:cat>
            <c:strRef>
              <c:f>'月度数据'!$H$22:$H$25</c:f>
              <c:strCache>
                <c:ptCount val="0"/>
              </c:strCache>
            </c:strRef>
          </c:cat>
          <c:val>
            <c:numRef>
              <c:f>'月度数据'!$K$22:$K$25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品牌CR5</c:v>
          </c:tx>
          <c:spPr>
            <a:solidFill xmlns:a="http://schemas.openxmlformats.org/drawingml/2006/main">
              <a:srgbClr val="2D8B87"/>
            </a:solidFill>
            <a:ln xmlns:a="http://schemas.openxmlformats.org/drawingml/2006/main" w="19050">
              <a:solidFill>
                <a:srgbClr val="2D8B87"/>
              </a:solidFill>
              <a:prstDash val="solid"/>
            </a:ln>
          </c:spPr>
          <c:marker>
            <c:symbol val="none"/>
          </c:marker>
          <c:cat>
            <c:strRef>
              <c:f>'月度数据'!$H$22:$H$25</c:f>
              <c:strCache>
                <c:ptCount val="0"/>
              </c:strCache>
            </c:strRef>
          </c:cat>
          <c:val>
            <c:numRef>
              <c:f>'月度数据'!$L$22:$L$25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滚动单月预测误差（2026上半年）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沿用上月</c:v>
          </c:tx>
          <c:spPr>
            <a:solidFill xmlns:a="http://schemas.openxmlformats.org/drawingml/2006/main">
              <a:srgbClr val="24466B"/>
            </a:solidFill>
            <a:ln xmlns:a="http://schemas.openxmlformats.org/drawingml/2006/main" w="19050">
              <a:solidFill>
                <a:srgbClr val="24466B"/>
              </a:solidFill>
              <a:prstDash val="solid"/>
            </a:ln>
          </c:spPr>
          <c:marker>
            <c:symbol val="none"/>
          </c:marker>
          <c:cat>
            <c:strRef>
              <c:f>'月度数据'!$H$48:$H$53</c:f>
              <c:strCache>
                <c:ptCount val="0"/>
              </c:strCache>
            </c:strRef>
          </c:cat>
          <c:val>
            <c:numRef>
              <c:f>'月度数据'!$I$48:$I$53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近三月均值</c:v>
          </c:tx>
          <c:spPr>
            <a:solidFill xmlns:a="http://schemas.openxmlformats.org/drawingml/2006/main">
              <a:srgbClr val="2D8B87"/>
            </a:solidFill>
            <a:ln xmlns:a="http://schemas.openxmlformats.org/drawingml/2006/main" w="19050">
              <a:solidFill>
                <a:srgbClr val="2D8B87"/>
              </a:solidFill>
              <a:prstDash val="solid"/>
            </a:ln>
          </c:spPr>
          <c:marker>
            <c:symbol val="none"/>
          </c:marker>
          <c:cat>
            <c:strRef>
              <c:f>'月度数据'!$H$48:$H$53</c:f>
              <c:strCache>
                <c:ptCount val="0"/>
              </c:strCache>
            </c:strRef>
          </c:cat>
          <c:val>
            <c:numRef>
              <c:f>'月度数据'!$J$48:$J$53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a3dbe53a44455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2d2a926c8144a8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dd2f3d3b774c5c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6ecf247bb4a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andMetrics" displayName="BrandMetrics" ref="A5:M449" headerRowCount="1" totalsRowCount="0" totalsRowShown="0">
  <x:tableColumns count="13">
    <x:tableColumn id="1" name="范围"/>
    <x:tableColumn id="2" name="比较窗口"/>
    <x:tableColumn id="3" name="品牌"/>
    <x:tableColumn id="4" name="基期销量（辆）"/>
    <x:tableColumn id="5" name="本期销量（辆）"/>
    <x:tableColumn id="6" name="增量（辆）"/>
    <x:tableColumn id="7" name="同比"/>
    <x:tableColumn id="8" name="基期份额"/>
    <x:tableColumn id="9" name="本期份额"/>
    <x:tableColumn id="10" name="份额变化（百分点）"/>
    <x:tableColumn id="11" name="基期排名"/>
    <x:tableColumn id="12" name="本期排名"/>
    <x:tableColumn id="13" name="排名提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PVSeries" displayName="MPVSeries" ref="A5:T127" headerRowCount="1" totalsRowCount="0" totalsRowShown="0">
  <x:tableColumns count="20">
    <x:tableColumn id="1" name="车系"/>
    <x:tableColumn id="2" name="品牌"/>
    <x:tableColumn id="3" name="2024销量（辆）"/>
    <x:tableColumn id="4" name="2025销量（辆）"/>
    <x:tableColumn id="5" name="增量（辆）"/>
    <x:tableColumn id="6" name="同比"/>
    <x:tableColumn id="7" name="2025样本份额"/>
    <x:tableColumn id="8" name="增量为正月份数"/>
    <x:tableColumn id="9" name="月销量CV"/>
    <x:tableColumn id="10" name="Q1增量"/>
    <x:tableColumn id="11" name="Q2增量"/>
    <x:tableColumn id="12" name="Q3增量"/>
    <x:tableColumn id="13" name="Q4增量"/>
    <x:tableColumn id="14" name="配置记录年"/>
    <x:tableColumn id="15" name="记录能源类型"/>
    <x:tableColumn id="16" name="记录指导价（万元）"/>
    <x:tableColumn id="17" name="轴距（mm）"/>
    <x:tableColumn id="18" name="名称年款"/>
    <x:tableColumn id="19" name="具体车型名称"/>
    <x:tableColumn id="20" name="增长月份占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fc4d0cff434e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ae29134ba43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63811796b4023" /></Relationships>
</file>

<file path=xl/worksheets/sheet1.xml><?xml version="1.0" encoding="utf-8"?>
<x:worksheet xmlns:x="http://schemas.openxmlformats.org/spreadsheetml/2006/main">
  <x:sheetPr>
    <x:tabColor rgb="FF24466B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汽车样本市场增长分析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2" t="str">
        <x:v>MPV 专题｜主比较：2025 vs 2024；近期观察：2026上半年。单位：辆；份额仅在样本内。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2025 MPV样本销量</x:v>
      </x:c>
      <x:c r="B5" s="2"/>
      <x:c r="C5" s="2"/>
      <x:c r="D5" s="2"/>
      <x:c r="E5" s="2" t="str">
        <x:v>同比增速</x:v>
      </x:c>
      <x:c r="F5" s="2"/>
      <x:c r="G5" s="2"/>
      <x:c r="H5" s="2"/>
      <x:c r="I5" s="2" t="str">
        <x:v>品牌CR5</x:v>
      </x:c>
      <x:c r="J5" s="2"/>
      <x:c r="K5" s="2"/>
      <x:c r="L5" s="2"/>
      <x:c r="M5" s="2" t="str">
        <x:v>三月均值 WMAPE</x:v>
      </x:c>
      <x:c r="N5" s="2"/>
      <x:c r="O5" s="2"/>
      <x:c r="P5" s="2"/>
      <x:c r="Q5" s="2"/>
    </x:row>
    <x:row r="6" ht="22" customHeight="1">
      <x:c r="A6" s="12" t="n">
        <x:f>SUM('MPV车系'!D6:D127)</x:f>
        <x:v>939247</x:v>
      </x:c>
      <x:c r="B6" s="2"/>
      <x:c r="C6" s="2"/>
      <x:c r="D6" s="2"/>
      <x:c r="E6" s="13" t="n">
        <x:f>A6/SUM('MPV车系'!C6:C127)-1</x:f>
        <x:v>0.0068898608520400195</x:v>
      </x:c>
      <x:c r="F6" s="2"/>
      <x:c r="G6" s="2"/>
      <x:c r="H6" s="2"/>
      <x:c r="I6" s="13" t="n">
        <x:f>SUM('品牌指标'!I330:I334)</x:f>
        <x:v>0.6051698860896016</x:v>
      </x:c>
      <x:c r="J6" s="2"/>
      <x:c r="K6" s="2"/>
      <x:c r="L6" s="2"/>
      <x:c r="M6" s="13" t="n">
        <x:f>'月度数据'!M36</x:f>
        <x:v>0.3769612780557695</x:v>
      </x:c>
      <x:c r="N6" s="2"/>
      <x:c r="O6" s="2"/>
      <x:c r="P6" s="2"/>
      <x:c r="Q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 t="str">
        <x:v>MPV总量仅小幅增长，车系表现明显分化。高山增量领先，但集中于下半年。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 t="str">
        <x:v>增长追踪：高山关注销量平台能否维持；梦想家关注2025四季度转弱是否延续；别克区分GL8燃油与新能源。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 t="str">
        <x:v>口径限制：大量零值、配置匹配不全、历史配置可能回填。详见“核验记录”和分析报告。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</x:sheetData>
  <x:pageMargins left="0.7" right="0.7" top="0.75" bottom="0.75" header="0.3" footer="0.3"/>
  <x:drawing xmlns:r="http://schemas.openxmlformats.org/officeDocument/2006/relationships" r:id="R8cfc4d0cff434e4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1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品牌增长、样本份额与排名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 t="str">
        <x:v>FY2025：2025全年 vs 2024全年；H12026：2026上半年 vs 2025上半年。排名仅对正销量品牌有效。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7" t="str">
        <x:v>范围</x:v>
      </x:c>
      <x:c r="B5" s="7" t="str">
        <x:v>比较窗口</x:v>
      </x:c>
      <x:c r="C5" s="7" t="str">
        <x:v>品牌</x:v>
      </x:c>
      <x:c r="D5" s="7" t="str">
        <x:v>基期销量（辆）</x:v>
      </x:c>
      <x:c r="E5" s="7" t="str">
        <x:v>本期销量（辆）</x:v>
      </x:c>
      <x:c r="F5" s="7" t="str">
        <x:v>增量（辆）</x:v>
      </x:c>
      <x:c r="G5" s="7" t="str">
        <x:v>同比</x:v>
      </x:c>
      <x:c r="H5" s="7" t="str">
        <x:v>基期份额</x:v>
      </x:c>
      <x:c r="I5" s="7" t="str">
        <x:v>本期份额</x:v>
      </x:c>
      <x:c r="J5" s="7" t="str">
        <x:v>份额变化（百分点）</x:v>
      </x:c>
      <x:c r="K5" s="7" t="str">
        <x:v>基期排名</x:v>
      </x:c>
      <x:c r="L5" s="7" t="str">
        <x:v>本期排名</x:v>
      </x:c>
      <x:c r="M5" s="7" t="str">
        <x:v>排名提升</x:v>
      </x:c>
    </x:row>
    <x:row r="6" ht="22" customHeight="1">
      <x:c r="A6" s="2" t="str">
        <x:v>全样本</x:v>
      </x:c>
      <x:c r="B6" s="2" t="str">
        <x:v>FY2025</x:v>
      </x:c>
      <x:c r="C6" s="2" t="str">
        <x:v>比亚迪</x:v>
      </x:c>
      <x:c r="D6" s="8" t="n">
        <x:v>3497776</x:v>
      </x:c>
      <x:c r="E6" s="8" t="n">
        <x:v>3094162</x:v>
      </x:c>
      <x:c r="F6" s="8" t="n">
        <x:f>E6-D6</x:f>
        <x:v>-403614</x:v>
      </x:c>
      <x:c r="G6" s="9" t="n">
        <x:f>IF(D6=0,"n.a.",F6/D6)</x:f>
        <x:v>-0.11539160883944541</x:v>
      </x:c>
      <x:c r="H6" s="9" t="n">
        <x:f>D6/SUMIFS($D$6:$D$449,$A$6:$A$449,A6,$B$6:$B$449,B6)</x:f>
        <x:v>0.20574153279375956</x:v>
      </x:c>
      <x:c r="I6" s="9" t="n">
        <x:f>E6/SUMIFS($E$6:$E$449,$A$6:$A$449,A6,$B$6:$B$449,B6)</x:f>
        <x:v>0.1780645409306015</x:v>
      </x:c>
      <x:c r="J6" s="10" t="n">
        <x:f>(I6-H6)*100</x:f>
        <x:v>-2.767699186315806</x:v>
      </x:c>
      <x:c r="K6" s="2" t="n">
        <x:v>1</x:v>
      </x:c>
      <x:c r="L6" s="2" t="n">
        <x:v>1</x:v>
      </x:c>
      <x:c r="M6" s="2" t="n">
        <x:f>IF(OR(K6="",L6=""),"n.a.",K6-L6)</x:f>
        <x:v>0</x:v>
      </x:c>
    </x:row>
    <x:row r="7" ht="22" customHeight="1">
      <x:c r="A7" s="2" t="str">
        <x:v>全样本</x:v>
      </x:c>
      <x:c r="B7" s="2" t="str">
        <x:v>FY2025</x:v>
      </x:c>
      <x:c r="C7" s="2" t="str">
        <x:v>大众</x:v>
      </x:c>
      <x:c r="D7" s="8" t="n">
        <x:v>2028729</x:v>
      </x:c>
      <x:c r="E7" s="8" t="n">
        <x:v>1876298</x:v>
      </x:c>
      <x:c r="F7" s="8" t="n">
        <x:f>E7-D7</x:f>
        <x:v>-152431</x:v>
      </x:c>
      <x:c r="G7" s="9" t="n">
        <x:f>IF(D7=0,"n.a.",F7/D7)</x:f>
        <x:v>-0.07513620596935322</x:v>
      </x:c>
      <x:c r="H7" s="9" t="n">
        <x:f>D7/SUMIFS($D$6:$D$449,$A$6:$A$449,A7,$B$6:$B$449,B7)</x:f>
        <x:v>0.1193312019074838</x:v>
      </x:c>
      <x:c r="I7" s="9" t="n">
        <x:f>E7/SUMIFS($E$6:$E$449,$A$6:$A$449,A7,$B$6:$B$449,B7)</x:f>
        <x:v>0.10797823191513753</x:v>
      </x:c>
      <x:c r="J7" s="10" t="n">
        <x:f>(I7-H7)*100</x:f>
        <x:v>-1.1352969992346265</x:v>
      </x:c>
      <x:c r="K7" s="2" t="n">
        <x:v>2</x:v>
      </x:c>
      <x:c r="L7" s="2" t="n">
        <x:v>2</x:v>
      </x:c>
      <x:c r="M7" s="2" t="n">
        <x:f>IF(OR(K7="",L7=""),"n.a.",K7-L7)</x:f>
        <x:v>0</x:v>
      </x:c>
    </x:row>
    <x:row r="8" ht="22" customHeight="1">
      <x:c r="A8" s="2" t="str">
        <x:v>全样本</x:v>
      </x:c>
      <x:c r="B8" s="2" t="str">
        <x:v>FY2025</x:v>
      </x:c>
      <x:c r="C8" s="2" t="str">
        <x:v>丰田</x:v>
      </x:c>
      <x:c r="D8" s="8" t="n">
        <x:v>1483989</x:v>
      </x:c>
      <x:c r="E8" s="8" t="n">
        <x:v>1498925</x:v>
      </x:c>
      <x:c r="F8" s="8" t="n">
        <x:f>E8-D8</x:f>
        <x:v>14936</x:v>
      </x:c>
      <x:c r="G8" s="9" t="n">
        <x:f>IF(D8=0,"n.a.",F8/D8)</x:f>
        <x:v>0.010064764631004678</x:v>
      </x:c>
      <x:c r="H8" s="9" t="n">
        <x:f>D8/SUMIFS($D$6:$D$449,$A$6:$A$449,A8,$B$6:$B$449,B8)</x:f>
        <x:v>0.08728922935862057</x:v>
      </x:c>
      <x:c r="I8" s="9" t="n">
        <x:f>E8/SUMIFS($E$6:$E$449,$A$6:$A$449,A8,$B$6:$B$449,B8)</x:f>
        <x:v>0.08626096242355825</x:v>
      </x:c>
      <x:c r="J8" s="10" t="n">
        <x:f>(I8-H8)*100</x:f>
        <x:v>-0.10282669350623191</x:v>
      </x:c>
      <x:c r="K8" s="2" t="n">
        <x:v>3</x:v>
      </x:c>
      <x:c r="L8" s="2" t="n">
        <x:v>3</x:v>
      </x:c>
      <x:c r="M8" s="2" t="n">
        <x:f>IF(OR(K8="",L8=""),"n.a.",K8-L8)</x:f>
        <x:v>0</x:v>
      </x:c>
    </x:row>
    <x:row r="9" ht="22" customHeight="1">
      <x:c r="A9" s="2" t="str">
        <x:v>全样本</x:v>
      </x:c>
      <x:c r="B9" s="2" t="str">
        <x:v>FY2025</x:v>
      </x:c>
      <x:c r="C9" s="2" t="str">
        <x:v>吉利银河</x:v>
      </x:c>
      <x:c r="D9" s="8" t="n">
        <x:v>215698</x:v>
      </x:c>
      <x:c r="E9" s="8" t="n">
        <x:v>796338</x:v>
      </x:c>
      <x:c r="F9" s="8" t="n">
        <x:f>E9-D9</x:f>
        <x:v>580640</x:v>
      </x:c>
      <x:c r="G9" s="9" t="n">
        <x:f>IF(D9=0,"n.a.",F9/D9)</x:f>
        <x:v>2.691911839701805</x:v>
      </x:c>
      <x:c r="H9" s="9" t="n">
        <x:f>D9/SUMIFS($D$6:$D$449,$A$6:$A$449,A9,$B$6:$B$449,B9)</x:f>
        <x:v>0.012687501183766013</x:v>
      </x:c>
      <x:c r="I9" s="9" t="n">
        <x:f>E9/SUMIFS($E$6:$E$449,$A$6:$A$449,A9,$B$6:$B$449,B9)</x:f>
        <x:v>0.04582809833343999</x:v>
      </x:c>
      <x:c r="J9" s="10" t="n">
        <x:f>(I9-H9)*100</x:f>
        <x:v>3.3140597149673976</x:v>
      </x:c>
      <x:c r="K9" s="2" t="n">
        <x:v>17</x:v>
      </x:c>
      <x:c r="L9" s="2" t="n">
        <x:v>4</x:v>
      </x:c>
      <x:c r="M9" s="2" t="n">
        <x:f>IF(OR(K9="",L9=""),"n.a.",K9-L9)</x:f>
        <x:v>13</x:v>
      </x:c>
    </x:row>
    <x:row r="10" ht="22" customHeight="1">
      <x:c r="A10" s="2" t="str">
        <x:v>全样本</x:v>
      </x:c>
      <x:c r="B10" s="2" t="str">
        <x:v>FY2025</x:v>
      </x:c>
      <x:c r="C10" s="2" t="str">
        <x:v>吉利汽车</x:v>
      </x:c>
      <x:c r="D10" s="8" t="n">
        <x:v>653192</x:v>
      </x:c>
      <x:c r="E10" s="8" t="n">
        <x:v>687560</x:v>
      </x:c>
      <x:c r="F10" s="8" t="n">
        <x:f>E10-D10</x:f>
        <x:v>34368</x:v>
      </x:c>
      <x:c r="G10" s="9" t="n">
        <x:f>IF(D10=0,"n.a.",F10/D10)</x:f>
        <x:v>0.052615463753383385</x:v>
      </x:c>
      <x:c r="H10" s="9" t="n">
        <x:f>D10/SUMIFS($D$6:$D$449,$A$6:$A$449,A10,$B$6:$B$449,B10)</x:f>
        <x:v>0.03842119200561196</x:v>
      </x:c>
      <x:c r="I10" s="9" t="n">
        <x:f>E10/SUMIFS($E$6:$E$449,$A$6:$A$449,A10,$B$6:$B$449,B10)</x:f>
        <x:v>0.03956808200806693</x:v>
      </x:c>
      <x:c r="J10" s="10" t="n">
        <x:f>(I10-H10)*100</x:f>
        <x:v>0.11468900024549644</x:v>
      </x:c>
      <x:c r="K10" s="2" t="n">
        <x:v>6</x:v>
      </x:c>
      <x:c r="L10" s="2" t="n">
        <x:v>5</x:v>
      </x:c>
      <x:c r="M10" s="2" t="n">
        <x:f>IF(OR(K10="",L10=""),"n.a.",K10-L10)</x:f>
        <x:v>1</x:v>
      </x:c>
    </x:row>
    <x:row r="11" ht="22" customHeight="1">
      <x:c r="A11" s="2" t="str">
        <x:v>全样本</x:v>
      </x:c>
      <x:c r="B11" s="2" t="str">
        <x:v>FY2025</x:v>
      </x:c>
      <x:c r="C11" s="2" t="str">
        <x:v>本田</x:v>
      </x:c>
      <x:c r="D11" s="8" t="n">
        <x:v>831766</x:v>
      </x:c>
      <x:c r="E11" s="8" t="n">
        <x:v>629957</x:v>
      </x:c>
      <x:c r="F11" s="8" t="n">
        <x:f>E11-D11</x:f>
        <x:v>-201809</x:v>
      </x:c>
      <x:c r="G11" s="9" t="n">
        <x:f>IF(D11=0,"n.a.",F11/D11)</x:f>
        <x:v>-0.24262713311195697</x:v>
      </x:c>
      <x:c r="H11" s="9" t="n">
        <x:f>D11/SUMIFS($D$6:$D$449,$A$6:$A$449,A11,$B$6:$B$449,B11)</x:f>
        <x:v>0.04892503458361376</x:v>
      </x:c>
      <x:c r="I11" s="9" t="n">
        <x:f>E11/SUMIFS($E$6:$E$449,$A$6:$A$449,A11,$B$6:$B$449,B11)</x:f>
        <x:v>0.03625311280114581</x:v>
      </x:c>
      <x:c r="J11" s="10" t="n">
        <x:f>(I11-H11)*100</x:f>
        <x:v>-1.2671921782467948</x:v>
      </x:c>
      <x:c r="K11" s="2" t="n">
        <x:v>4</x:v>
      </x:c>
      <x:c r="L11" s="2" t="n">
        <x:v>6</x:v>
      </x:c>
      <x:c r="M11" s="2" t="n">
        <x:f>IF(OR(K11="",L11=""),"n.a.",K11-L11)</x:f>
        <x:v>-2</x:v>
      </x:c>
    </x:row>
    <x:row r="12" ht="22" customHeight="1">
      <x:c r="A12" s="2" t="str">
        <x:v>全样本</x:v>
      </x:c>
      <x:c r="B12" s="2" t="str">
        <x:v>FY2025</x:v>
      </x:c>
      <x:c r="C12" s="2" t="str">
        <x:v>长安</x:v>
      </x:c>
      <x:c r="D12" s="8" t="n">
        <x:v>604540</x:v>
      </x:c>
      <x:c r="E12" s="8" t="n">
        <x:v>628752</x:v>
      </x:c>
      <x:c r="F12" s="8" t="n">
        <x:f>E12-D12</x:f>
        <x:v>24212</x:v>
      </x:c>
      <x:c r="G12" s="9" t="n">
        <x:f>IF(D12=0,"n.a.",F12/D12)</x:f>
        <x:v>0.040050286167995504</x:v>
      </x:c>
      <x:c r="H12" s="9" t="n">
        <x:f>D12/SUMIFS($D$6:$D$449,$A$6:$A$449,A12,$B$6:$B$449,B12)</x:f>
        <x:v>0.03555944869972789</x:v>
      </x:c>
      <x:c r="I12" s="9" t="n">
        <x:f>E12/SUMIFS($E$6:$E$449,$A$6:$A$449,A12,$B$6:$B$449,B12)</x:f>
        <x:v>0.0361837667966957</x:v>
      </x:c>
      <x:c r="J12" s="10" t="n">
        <x:f>(I12-H12)*100</x:f>
        <x:v>0.06243180969678144</x:v>
      </x:c>
      <x:c r="K12" s="2" t="n">
        <x:v>8</x:v>
      </x:c>
      <x:c r="L12" s="2" t="n">
        <x:v>7</x:v>
      </x:c>
      <x:c r="M12" s="2" t="n">
        <x:f>IF(OR(K12="",L12=""),"n.a.",K12-L12)</x:f>
        <x:v>1</x:v>
      </x:c>
    </x:row>
    <x:row r="13" ht="22" customHeight="1">
      <x:c r="A13" s="2" t="str">
        <x:v>全样本</x:v>
      </x:c>
      <x:c r="B13" s="2" t="str">
        <x:v>FY2025</x:v>
      </x:c>
      <x:c r="C13" s="2" t="str">
        <x:v>特斯拉</x:v>
      </x:c>
      <x:c r="D13" s="8" t="n">
        <x:v>657102</x:v>
      </x:c>
      <x:c r="E13" s="8" t="n">
        <x:v>625698</x:v>
      </x:c>
      <x:c r="F13" s="8" t="n">
        <x:f>E13-D13</x:f>
        <x:v>-31404</x:v>
      </x:c>
      <x:c r="G13" s="9" t="n">
        <x:f>IF(D13=0,"n.a.",F13/D13)</x:f>
        <x:v>-0.047791667047125105</x:v>
      </x:c>
      <x:c r="H13" s="9" t="n">
        <x:f>D13/SUMIFS($D$6:$D$449,$A$6:$A$449,A13,$B$6:$B$449,B13)</x:f>
        <x:v>0.038651180830860804</x:v>
      </x:c>
      <x:c r="I13" s="9" t="n">
        <x:f>E13/SUMIFS($E$6:$E$449,$A$6:$A$449,A13,$B$6:$B$449,B13)</x:f>
        <x:v>0.03600801352068686</x:v>
      </x:c>
      <x:c r="J13" s="10" t="n">
        <x:f>(I13-H13)*100</x:f>
        <x:v>-0.2643167310173944</x:v>
      </x:c>
      <x:c r="K13" s="2" t="n">
        <x:v>5</x:v>
      </x:c>
      <x:c r="L13" s="2" t="n">
        <x:v>8</x:v>
      </x:c>
      <x:c r="M13" s="2" t="n">
        <x:f>IF(OR(K13="",L13=""),"n.a.",K13-L13)</x:f>
        <x:v>-3</x:v>
      </x:c>
    </x:row>
    <x:row r="14" ht="22" customHeight="1">
      <x:c r="A14" s="2" t="str">
        <x:v>全样本</x:v>
      </x:c>
      <x:c r="B14" s="2" t="str">
        <x:v>FY2025</x:v>
      </x:c>
      <x:c r="C14" s="2" t="str">
        <x:v>五菱</x:v>
      </x:c>
      <x:c r="D14" s="8" t="n">
        <x:v>432960</x:v>
      </x:c>
      <x:c r="E14" s="8" t="n">
        <x:v>584299</x:v>
      </x:c>
      <x:c r="F14" s="8" t="n">
        <x:f>E14-D14</x:f>
        <x:v>151339</x:v>
      </x:c>
      <x:c r="G14" s="9" t="n">
        <x:f>IF(D14=0,"n.a.",F14/D14)</x:f>
        <x:v>0.349544992609017</x:v>
      </x:c>
      <x:c r="H14" s="9" t="n">
        <x:f>D14/SUMIFS($D$6:$D$449,$A$6:$A$449,A14,$B$6:$B$449,B14)</x:f>
        <x:v>0.02546699789763156</x:v>
      </x:c>
      <x:c r="I14" s="9" t="n">
        <x:f>E14/SUMIFS($E$6:$E$449,$A$6:$A$449,A14,$B$6:$B$449,B14)</x:f>
        <x:v>0.03362556104082771</x:v>
      </x:c>
      <x:c r="J14" s="10" t="n">
        <x:f>(I14-H14)*100</x:f>
        <x:v>0.8158563143196147</x:v>
      </x:c>
      <x:c r="K14" s="2" t="n">
        <x:v>13</x:v>
      </x:c>
      <x:c r="L14" s="2" t="n">
        <x:v>9</x:v>
      </x:c>
      <x:c r="M14" s="2" t="n">
        <x:f>IF(OR(K14="",L14=""),"n.a.",K14-L14)</x:f>
        <x:v>4</x:v>
      </x:c>
    </x:row>
    <x:row r="15" ht="22" customHeight="1">
      <x:c r="A15" s="2" t="str">
        <x:v>全样本</x:v>
      </x:c>
      <x:c r="B15" s="2" t="str">
        <x:v>FY2025</x:v>
      </x:c>
      <x:c r="C15" s="2" t="str">
        <x:v>日产</x:v>
      </x:c>
      <x:c r="D15" s="8" t="n">
        <x:v>595164</x:v>
      </x:c>
      <x:c r="E15" s="8" t="n">
        <x:v>574368</x:v>
      </x:c>
      <x:c r="F15" s="8" t="n">
        <x:f>E15-D15</x:f>
        <x:v>-20796</x:v>
      </x:c>
      <x:c r="G15" s="9" t="n">
        <x:f>IF(D15=0,"n.a.",F15/D15)</x:f>
        <x:v>-0.0349416295340444</x:v>
      </x:c>
      <x:c r="H15" s="9" t="n">
        <x:f>D15/SUMIFS($D$6:$D$449,$A$6:$A$449,A15,$B$6:$B$449,B15)</x:f>
        <x:v>0.035007946084502015</x:v>
      </x:c>
      <x:c r="I15" s="9" t="n">
        <x:f>E15/SUMIFS($E$6:$E$449,$A$6:$A$449,A15,$B$6:$B$449,B15)</x:f>
        <x:v>0.033054046376766226</x:v>
      </x:c>
      <x:c r="J15" s="10" t="n">
        <x:f>(I15-H15)*100</x:f>
        <x:v>-0.19538997077357886</x:v>
      </x:c>
      <x:c r="K15" s="2" t="n">
        <x:v>9</x:v>
      </x:c>
      <x:c r="L15" s="2" t="n">
        <x:v>10</x:v>
      </x:c>
      <x:c r="M15" s="2" t="n">
        <x:f>IF(OR(K15="",L15=""),"n.a.",K15-L15)</x:f>
        <x:v>-1</x:v>
      </x:c>
    </x:row>
    <x:row r="16" ht="22" customHeight="1">
      <x:c r="A16" s="2" t="str">
        <x:v>全样本</x:v>
      </x:c>
      <x:c r="B16" s="2" t="str">
        <x:v>FY2025</x:v>
      </x:c>
      <x:c r="C16" s="2" t="str">
        <x:v>奥迪</x:v>
      </x:c>
      <x:c r="D16" s="8" t="n">
        <x:v>593132</x:v>
      </x:c>
      <x:c r="E16" s="8" t="n">
        <x:v>568693</x:v>
      </x:c>
      <x:c r="F16" s="8" t="n">
        <x:f>E16-D16</x:f>
        <x:v>-24439</x:v>
      </x:c>
      <x:c r="G16" s="9" t="n">
        <x:f>IF(D16=0,"n.a.",F16/D16)</x:f>
        <x:v>-0.04120330718963064</x:v>
      </x:c>
      <x:c r="H16" s="9" t="n">
        <x:f>D16/SUMIFS($D$6:$D$449,$A$6:$A$449,A16,$B$6:$B$449,B16)</x:f>
        <x:v>0.034888422480178316</x:v>
      </x:c>
      <x:c r="I16" s="9" t="n">
        <x:f>E16/SUMIFS($E$6:$E$449,$A$6:$A$449,A16,$B$6:$B$449,B16)</x:f>
        <x:v>0.03272745834750946</x:v>
      </x:c>
      <x:c r="J16" s="10" t="n">
        <x:f>(I16-H16)*100</x:f>
        <x:v>-0.21609641326688564</x:v>
      </x:c>
      <x:c r="K16" s="2" t="n">
        <x:v>10</x:v>
      </x:c>
      <x:c r="L16" s="2" t="n">
        <x:v>11</x:v>
      </x:c>
      <x:c r="M16" s="2" t="n">
        <x:f>IF(OR(K16="",L16=""),"n.a.",K16-L16)</x:f>
        <x:v>-1</x:v>
      </x:c>
    </x:row>
    <x:row r="17" ht="22" customHeight="1">
      <x:c r="A17" s="2" t="str">
        <x:v>全样本</x:v>
      </x:c>
      <x:c r="B17" s="2" t="str">
        <x:v>FY2025</x:v>
      </x:c>
      <x:c r="C17" s="2" t="str">
        <x:v>宝马</x:v>
      </x:c>
      <x:c r="D17" s="8" t="n">
        <x:v>609576</x:v>
      </x:c>
      <x:c r="E17" s="8" t="n">
        <x:v>533537</x:v>
      </x:c>
      <x:c r="F17" s="8" t="n">
        <x:f>E17-D17</x:f>
        <x:v>-76039</x:v>
      </x:c>
      <x:c r="G17" s="9" t="n">
        <x:f>IF(D17=0,"n.a.",F17/D17)</x:f>
        <x:v>-0.12474080344370514</x:v>
      </x:c>
      <x:c r="H17" s="9" t="n">
        <x:f>D17/SUMIFS($D$6:$D$449,$A$6:$A$449,A17,$B$6:$B$449,B17)</x:f>
        <x:v>0.035855669600994684</x:v>
      </x:c>
      <x:c r="I17" s="9" t="n">
        <x:f>E17/SUMIFS($E$6:$E$449,$A$6:$A$449,A17,$B$6:$B$449,B17)</x:f>
        <x:v>0.030704281474108447</x:v>
      </x:c>
      <x:c r="J17" s="10" t="n">
        <x:f>(I17-H17)*100</x:f>
        <x:v>-0.5151388126886237</x:v>
      </x:c>
      <x:c r="K17" s="2" t="n">
        <x:v>7</x:v>
      </x:c>
      <x:c r="L17" s="2" t="n">
        <x:v>12</x:v>
      </x:c>
      <x:c r="M17" s="2" t="n">
        <x:f>IF(OR(K17="",L17=""),"n.a.",K17-L17)</x:f>
        <x:v>-5</x:v>
      </x:c>
    </x:row>
    <x:row r="18" ht="22" customHeight="1">
      <x:c r="A18" s="2" t="str">
        <x:v>全样本</x:v>
      </x:c>
      <x:c r="B18" s="2" t="str">
        <x:v>FY2025</x:v>
      </x:c>
      <x:c r="C18" s="2" t="str">
        <x:v>奇瑞</x:v>
      </x:c>
      <x:c r="D18" s="8" t="n">
        <x:v>507985</x:v>
      </x:c>
      <x:c r="E18" s="8" t="n">
        <x:v>523155</x:v>
      </x:c>
      <x:c r="F18" s="8" t="n">
        <x:f>E18-D18</x:f>
        <x:v>15170</x:v>
      </x:c>
      <x:c r="G18" s="9" t="n">
        <x:f>IF(D18=0,"n.a.",F18/D18)</x:f>
        <x:v>0.029863086508459896</x:v>
      </x:c>
      <x:c r="H18" s="9" t="n">
        <x:f>D18/SUMIFS($D$6:$D$449,$A$6:$A$449,A18,$B$6:$B$449,B18)</x:f>
        <x:v>0.029880018770852664</x:v>
      </x:c>
      <x:c r="I18" s="9" t="n">
        <x:f>E18/SUMIFS($E$6:$E$449,$A$6:$A$449,A18,$B$6:$B$449,B18)</x:f>
        <x:v>0.030106812413360655</x:v>
      </x:c>
      <x:c r="J18" s="10" t="n">
        <x:f>(I18-H18)*100</x:f>
        <x:v>0.02267936425079907</x:v>
      </x:c>
      <x:c r="K18" s="2" t="n">
        <x:v>12</x:v>
      </x:c>
      <x:c r="L18" s="2" t="n">
        <x:v>13</x:v>
      </x:c>
      <x:c r="M18" s="2" t="n">
        <x:f>IF(OR(K18="",L18=""),"n.a.",K18-L18)</x:f>
        <x:v>-1</x:v>
      </x:c>
    </x:row>
    <x:row r="19" ht="22" customHeight="1">
      <x:c r="A19" s="2" t="str">
        <x:v>全样本</x:v>
      </x:c>
      <x:c r="B19" s="2" t="str">
        <x:v>FY2025</x:v>
      </x:c>
      <x:c r="C19" s="2" t="str">
        <x:v>奔驰</x:v>
      </x:c>
      <x:c r="D19" s="8" t="n">
        <x:v>565888</x:v>
      </x:c>
      <x:c r="E19" s="8" t="n">
        <x:v>453603</x:v>
      </x:c>
      <x:c r="F19" s="8" t="n">
        <x:f>E19-D19</x:f>
        <x:v>-112285</x:v>
      </x:c>
      <x:c r="G19" s="9" t="n">
        <x:f>IF(D19=0,"n.a.",F19/D19)</x:f>
        <x:v>-0.19842265607328657</x:v>
      </x:c>
      <x:c r="H19" s="9" t="n">
        <x:f>D19/SUMIFS($D$6:$D$449,$A$6:$A$449,A19,$B$6:$B$449,B19)</x:f>
        <x:v>0.03328591210803522</x:v>
      </x:c>
      <x:c r="I19" s="9" t="n">
        <x:f>E19/SUMIFS($E$6:$E$449,$A$6:$A$449,A19,$B$6:$B$449,B19)</x:f>
        <x:v>0.0261041955656309</x:v>
      </x:c>
      <x:c r="J19" s="10" t="n">
        <x:f>(I19-H19)*100</x:f>
        <x:v>-0.7181716542404321</x:v>
      </x:c>
      <x:c r="K19" s="2" t="n">
        <x:v>11</x:v>
      </x:c>
      <x:c r="L19" s="2" t="n">
        <x:v>14</x:v>
      </x:c>
      <x:c r="M19" s="2" t="n">
        <x:f>IF(OR(K19="",L19=""),"n.a.",K19-L19)</x:f>
        <x:v>-3</x:v>
      </x:c>
    </x:row>
    <x:row r="20" ht="22" customHeight="1">
      <x:c r="A20" s="2" t="str">
        <x:v>全样本</x:v>
      </x:c>
      <x:c r="B20" s="2" t="str">
        <x:v>FY2025</x:v>
      </x:c>
      <x:c r="C20" s="2" t="str">
        <x:v>红旗</x:v>
      </x:c>
      <x:c r="D20" s="8" t="n">
        <x:v>402611</x:v>
      </x:c>
      <x:c r="E20" s="8" t="n">
        <x:v>443510</x:v>
      </x:c>
      <x:c r="F20" s="8" t="n">
        <x:f>E20-D20</x:f>
        <x:v>40899</x:v>
      </x:c>
      <x:c r="G20" s="9" t="n">
        <x:f>IF(D20=0,"n.a.",F20/D20)</x:f>
        <x:v>0.10158440777822762</x:v>
      </x:c>
      <x:c r="H20" s="9" t="n">
        <x:f>D20/SUMIFS($D$6:$D$449,$A$6:$A$449,A20,$B$6:$B$449,B20)</x:f>
        <x:v>0.023681849340732034</x:v>
      </x:c>
      <x:c r="I20" s="9" t="n">
        <x:f>E20/SUMIFS($E$6:$E$449,$A$6:$A$449,A20,$B$6:$B$449,B20)</x:f>
        <x:v>0.025523358036240854</x:v>
      </x:c>
      <x:c r="J20" s="10" t="n">
        <x:f>(I20-H20)*100</x:f>
        <x:v>0.18415086955088195</x:v>
      </x:c>
      <x:c r="K20" s="2" t="n">
        <x:v>14</x:v>
      </x:c>
      <x:c r="L20" s="2" t="n">
        <x:v>15</x:v>
      </x:c>
      <x:c r="M20" s="2" t="n">
        <x:f>IF(OR(K20="",L20=""),"n.a.",K20-L20)</x:f>
        <x:v>-1</x:v>
      </x:c>
    </x:row>
    <x:row r="21" ht="22" customHeight="1">
      <x:c r="A21" s="2" t="str">
        <x:v>全样本</x:v>
      </x:c>
      <x:c r="B21" s="2" t="str">
        <x:v>FY2025</x:v>
      </x:c>
      <x:c r="C21" s="2" t="str">
        <x:v>别克</x:v>
      </x:c>
      <x:c r="D21" s="8" t="n">
        <x:v>341872</x:v>
      </x:c>
      <x:c r="E21" s="8" t="n">
        <x:v>386083</x:v>
      </x:c>
      <x:c r="F21" s="8" t="n">
        <x:f>E21-D21</x:f>
        <x:v>44211</x:v>
      </x:c>
      <x:c r="G21" s="9" t="n">
        <x:f>IF(D21=0,"n.a.",F21/D21)</x:f>
        <x:v>0.12932033041606214</x:v>
      </x:c>
      <x:c r="H21" s="9" t="n">
        <x:f>D21/SUMIFS($D$6:$D$449,$A$6:$A$449,A21,$B$6:$B$449,B21)</x:f>
        <x:v>0.02010914057940479</x:v>
      </x:c>
      <x:c r="I21" s="9" t="n">
        <x:f>E21/SUMIFS($E$6:$E$449,$A$6:$A$449,A21,$B$6:$B$449,B21)</x:f>
        <x:v>0.02221851737436806</x:v>
      </x:c>
      <x:c r="J21" s="10" t="n">
        <x:f>(I21-H21)*100</x:f>
        <x:v>0.2109376794963272</x:v>
      </x:c>
      <x:c r="K21" s="2" t="n">
        <x:v>15</x:v>
      </x:c>
      <x:c r="L21" s="2" t="n">
        <x:v>16</x:v>
      </x:c>
      <x:c r="M21" s="2" t="n">
        <x:f>IF(OR(K21="",L21=""),"n.a.",K21-L21)</x:f>
        <x:v>-1</x:v>
      </x:c>
    </x:row>
    <x:row r="22" ht="22" customHeight="1">
      <x:c r="A22" s="2" t="str">
        <x:v>全样本</x:v>
      </x:c>
      <x:c r="B22" s="2" t="str">
        <x:v>FY2025</x:v>
      </x:c>
      <x:c r="C22" s="2" t="str">
        <x:v>小鹏</x:v>
      </x:c>
      <x:c r="D22" s="8" t="n">
        <x:v>107873</x:v>
      </x:c>
      <x:c r="E22" s="8" t="n">
        <x:v>292015</x:v>
      </x:c>
      <x:c r="F22" s="8" t="n">
        <x:f>E22-D22</x:f>
        <x:v>184142</x:v>
      </x:c>
      <x:c r="G22" s="9" t="n">
        <x:f>IF(D22=0,"n.a.",F22/D22)</x:f>
        <x:v>1.7070258544770238</x:v>
      </x:c>
      <x:c r="H22" s="9" t="n">
        <x:f>D22/SUMIFS($D$6:$D$449,$A$6:$A$449,A22,$B$6:$B$449,B22)</x:f>
        <x:v>0.006345162287997066</x:v>
      </x:c>
      <x:c r="I22" s="9" t="n">
        <x:f>E22/SUMIFS($E$6:$E$449,$A$6:$A$449,A22,$B$6:$B$449,B22)</x:f>
        <x:v>0.016805040240249088</x:v>
      </x:c>
      <x:c r="J22" s="10" t="n">
        <x:f>(I22-H22)*100</x:f>
        <x:v>1.0459877952252024</x:v>
      </x:c>
      <x:c r="K22" s="2" t="n">
        <x:v>26</x:v>
      </x:c>
      <x:c r="L22" s="2" t="n">
        <x:v>17</x:v>
      </x:c>
      <x:c r="M22" s="2" t="n">
        <x:f>IF(OR(K22="",L22=""),"n.a.",K22-L22)</x:f>
        <x:v>9</x:v>
      </x:c>
    </x:row>
    <x:row r="23" ht="22" customHeight="1">
      <x:c r="A23" s="2" t="str">
        <x:v>全样本</x:v>
      </x:c>
      <x:c r="B23" s="2" t="str">
        <x:v>FY2025</x:v>
      </x:c>
      <x:c r="C23" s="2" t="str">
        <x:v>小米汽车</x:v>
      </x:c>
      <x:c r="D23" s="8" t="n">
        <x:v>139487</x:v>
      </x:c>
      <x:c r="E23" s="8" t="n">
        <x:v>258164</x:v>
      </x:c>
      <x:c r="F23" s="8" t="n">
        <x:f>E23-D23</x:f>
        <x:v>118677</x:v>
      </x:c>
      <x:c r="G23" s="9" t="n">
        <x:f>IF(D23=0,"n.a.",F23/D23)</x:f>
        <x:v>0.8508104697928839</x:v>
      </x:c>
      <x:c r="H23" s="9" t="n">
        <x:f>D23/SUMIFS($D$6:$D$449,$A$6:$A$449,A23,$B$6:$B$449,B23)</x:f>
        <x:v>0.008204718994241808</x:v>
      </x:c>
      <x:c r="I23" s="9" t="n">
        <x:f>E23/SUMIFS($E$6:$E$449,$A$6:$A$449,A23,$B$6:$B$449,B23)</x:f>
        <x:v>0.014856964226439277</x:v>
      </x:c>
      <x:c r="J23" s="10" t="n">
        <x:f>(I23-H23)*100</x:f>
        <x:v>0.6652245232197469</x:v>
      </x:c>
      <x:c r="K23" s="2" t="n">
        <x:v>21</x:v>
      </x:c>
      <x:c r="L23" s="2" t="n">
        <x:v>18</x:v>
      </x:c>
      <x:c r="M23" s="2" t="n">
        <x:f>IF(OR(K23="",L23=""),"n.a.",K23-L23)</x:f>
        <x:v>3</x:v>
      </x:c>
    </x:row>
    <x:row r="24" ht="22" customHeight="1">
      <x:c r="A24" s="2" t="str">
        <x:v>全样本</x:v>
      </x:c>
      <x:c r="B24" s="2" t="str">
        <x:v>FY2025</x:v>
      </x:c>
      <x:c r="C24" s="2" t="str">
        <x:v>长安启源</x:v>
      </x:c>
      <x:c r="D24" s="8" t="n">
        <x:v>238275</x:v>
      </x:c>
      <x:c r="E24" s="8" t="n">
        <x:v>240427</x:v>
      </x:c>
      <x:c r="F24" s="8" t="n">
        <x:f>E24-D24</x:f>
        <x:v>2152</x:v>
      </x:c>
      <x:c r="G24" s="9" t="n">
        <x:f>IF(D24=0,"n.a.",F24/D24)</x:f>
        <x:v>0.009031581156227049</x:v>
      </x:c>
      <x:c r="H24" s="9" t="n">
        <x:f>D24/SUMIFS($D$6:$D$449,$A$6:$A$449,A24,$B$6:$B$449,B24)</x:f>
        <x:v>0.014015495482395973</x:v>
      </x:c>
      <x:c r="I24" s="9" t="n">
        <x:f>E24/SUMIFS($E$6:$E$449,$A$6:$A$449,A24,$B$6:$B$449,B24)</x:f>
        <x:v>0.01383622557006444</x:v>
      </x:c>
      <x:c r="J24" s="10" t="n">
        <x:f>(I24-H24)*100</x:f>
        <x:v>-0.01792699123315325</x:v>
      </x:c>
      <x:c r="K24" s="2" t="n">
        <x:v>16</x:v>
      </x:c>
      <x:c r="L24" s="2" t="n">
        <x:v>19</x:v>
      </x:c>
      <x:c r="M24" s="2" t="n">
        <x:f>IF(OR(K24="",L24=""),"n.a.",K24-L24)</x:f>
        <x:v>-3</x:v>
      </x:c>
    </x:row>
    <x:row r="25" ht="22" customHeight="1">
      <x:c r="A25" s="2" t="str">
        <x:v>全样本</x:v>
      </x:c>
      <x:c r="B25" s="2" t="str">
        <x:v>FY2025</x:v>
      </x:c>
      <x:c r="C25" s="2" t="str">
        <x:v>埃安</x:v>
      </x:c>
      <x:c r="D25" s="8" t="n">
        <x:v>154629</x:v>
      </x:c>
      <x:c r="E25" s="8" t="n">
        <x:v>159610</x:v>
      </x:c>
      <x:c r="F25" s="8" t="n">
        <x:f>E25-D25</x:f>
        <x:v>4981</x:v>
      </x:c>
      <x:c r="G25" s="9" t="n">
        <x:f>IF(D25=0,"n.a.",F25/D25)</x:f>
        <x:v>0.03221258625484223</x:v>
      </x:c>
      <x:c r="H25" s="9" t="n">
        <x:f>D25/SUMIFS($D$6:$D$449,$A$6:$A$449,A25,$B$6:$B$449,B25)</x:f>
        <x:v>0.009095381600870452</x:v>
      </x:c>
      <x:c r="I25" s="9" t="n">
        <x:f>E25/SUMIFS($E$6:$E$449,$A$6:$A$449,A25,$B$6:$B$449,B25)</x:f>
        <x:v>0.009185324290691084</x:v>
      </x:c>
      <x:c r="J25" s="10" t="n">
        <x:f>(I25-H25)*100</x:f>
        <x:v>0.008994268982063201</x:v>
      </x:c>
      <x:c r="K25" s="2" t="n">
        <x:v>19</x:v>
      </x:c>
      <x:c r="L25" s="2" t="n">
        <x:v>20</x:v>
      </x:c>
      <x:c r="M25" s="2" t="n">
        <x:f>IF(OR(K25="",L25=""),"n.a.",K25-L25)</x:f>
        <x:v>-1</x:v>
      </x:c>
    </x:row>
    <x:row r="26" ht="22" customHeight="1">
      <x:c r="A26" s="2" t="str">
        <x:v>全样本</x:v>
      </x:c>
      <x:c r="B26" s="2" t="str">
        <x:v>FY2025</x:v>
      </x:c>
      <x:c r="C26" s="2" t="str">
        <x:v>荣威</x:v>
      </x:c>
      <x:c r="D26" s="8" t="n">
        <x:v>111670</x:v>
      </x:c>
      <x:c r="E26" s="8" t="n">
        <x:v>151950</x:v>
      </x:c>
      <x:c r="F26" s="8" t="n">
        <x:f>E26-D26</x:f>
        <x:v>40280</x:v>
      </x:c>
      <x:c r="G26" s="9" t="n">
        <x:f>IF(D26=0,"n.a.",F26/D26)</x:f>
        <x:v>0.3607056505775947</x:v>
      </x:c>
      <x:c r="H26" s="9" t="n">
        <x:f>D26/SUMIFS($D$6:$D$449,$A$6:$A$449,A26,$B$6:$B$449,B26)</x:f>
        <x:v>0.006568504377375546</x:v>
      </x:c>
      <x:c r="I26" s="9" t="n">
        <x:f>E26/SUMIFS($E$6:$E$449,$A$6:$A$449,A26,$B$6:$B$449,B26)</x:f>
        <x:v>0.008744502386883719</x:v>
      </x:c>
      <x:c r="J26" s="10" t="n">
        <x:f>(I26-H26)*100</x:f>
        <x:v>0.2175998009508173</x:v>
      </x:c>
      <x:c r="K26" s="2" t="n">
        <x:v>25</x:v>
      </x:c>
      <x:c r="L26" s="2" t="n">
        <x:v>21</x:v>
      </x:c>
      <x:c r="M26" s="2" t="n">
        <x:f>IF(OR(K26="",L26=""),"n.a.",K26-L26)</x:f>
        <x:v>4</x:v>
      </x:c>
    </x:row>
    <x:row r="27" ht="22" customHeight="1">
      <x:c r="A27" s="2" t="str">
        <x:v>全样本</x:v>
      </x:c>
      <x:c r="B27" s="2" t="str">
        <x:v>FY2025</x:v>
      </x:c>
      <x:c r="C27" s="2" t="str">
        <x:v>奔腾</x:v>
      </x:c>
      <x:c r="D27" s="8" t="n">
        <x:v>57863</x:v>
      </x:c>
      <x:c r="E27" s="8" t="n">
        <x:v>143294</x:v>
      </x:c>
      <x:c r="F27" s="8" t="n">
        <x:f>E27-D27</x:f>
        <x:v>85431</x:v>
      </x:c>
      <x:c r="G27" s="9" t="n">
        <x:f>IF(D27=0,"n.a.",F27/D27)</x:f>
        <x:v>1.4764357188531532</x:v>
      </x:c>
      <x:c r="H27" s="9" t="n">
        <x:f>D27/SUMIFS($D$6:$D$449,$A$6:$A$449,A27,$B$6:$B$449,B27)</x:f>
        <x:v>0.0034035405103257925</x:v>
      </x:c>
      <x:c r="I27" s="9" t="n">
        <x:f>E27/SUMIFS($E$6:$E$449,$A$6:$A$449,A27,$B$6:$B$449,B27)</x:f>
        <x:v>0.008246362125871112</x:v>
      </x:c>
      <x:c r="J27" s="10" t="n">
        <x:f>(I27-H27)*100</x:f>
        <x:v>0.484282161554532</x:v>
      </x:c>
      <x:c r="K27" s="2" t="n">
        <x:v>34</x:v>
      </x:c>
      <x:c r="L27" s="2" t="n">
        <x:v>22</x:v>
      </x:c>
      <x:c r="M27" s="2" t="n">
        <x:f>IF(OR(K27="",L27=""),"n.a.",K27-L27)</x:f>
        <x:v>12</x:v>
      </x:c>
    </x:row>
    <x:row r="28" ht="22" customHeight="1">
      <x:c r="A28" s="2" t="str">
        <x:v>全样本</x:v>
      </x:c>
      <x:c r="B28" s="2" t="str">
        <x:v>FY2025</x:v>
      </x:c>
      <x:c r="C28" s="2" t="str">
        <x:v>MG名爵</x:v>
      </x:c>
      <x:c r="D28" s="8" t="n">
        <x:v>83856</x:v>
      </x:c>
      <x:c r="E28" s="8" t="n">
        <x:v>137269</x:v>
      </x:c>
      <x:c r="F28" s="8" t="n">
        <x:f>E28-D28</x:f>
        <x:v>53413</x:v>
      </x:c>
      <x:c r="G28" s="9" t="n">
        <x:f>IF(D28=0,"n.a.",F28/D28)</x:f>
        <x:v>0.6369609807288685</x:v>
      </x:c>
      <x:c r="H28" s="9" t="n">
        <x:f>D28/SUMIFS($D$6:$D$449,$A$6:$A$449,A28,$B$6:$B$449,B28)</x:f>
        <x:v>0.004932466222523541</x:v>
      </x:c>
      <x:c r="I28" s="9" t="n">
        <x:f>E28/SUMIFS($E$6:$E$449,$A$6:$A$449,A28,$B$6:$B$449,B28)</x:f>
        <x:v>0.007899632103620541</x:v>
      </x:c>
      <x:c r="J28" s="10" t="n">
        <x:f>(I28-H28)*100</x:f>
        <x:v>0.2967165881097</x:v>
      </x:c>
      <x:c r="K28" s="2" t="n">
        <x:v>30</x:v>
      </x:c>
      <x:c r="L28" s="2" t="n">
        <x:v>23</x:v>
      </x:c>
      <x:c r="M28" s="2" t="n">
        <x:f>IF(OR(K28="",L28=""),"n.a.",K28-L28)</x:f>
        <x:v>7</x:v>
      </x:c>
    </x:row>
    <x:row r="29" ht="22" customHeight="1">
      <x:c r="A29" s="2" t="str">
        <x:v>全样本</x:v>
      </x:c>
      <x:c r="B29" s="2" t="str">
        <x:v>FY2025</x:v>
      </x:c>
      <x:c r="C29" s="2" t="str">
        <x:v>零跑汽车</x:v>
      </x:c>
      <x:c r="D29" s="8" t="n">
        <x:v>62275</x:v>
      </x:c>
      <x:c r="E29" s="8" t="n">
        <x:v>133381</x:v>
      </x:c>
      <x:c r="F29" s="8" t="n">
        <x:f>E29-D29</x:f>
        <x:v>71106</x:v>
      </x:c>
      <x:c r="G29" s="9" t="n">
        <x:f>IF(D29=0,"n.a.",F29/D29)</x:f>
        <x:v>1.1418065034122842</x:v>
      </x:c>
      <x:c r="H29" s="9" t="n">
        <x:f>D29/SUMIFS($D$6:$D$449,$A$6:$A$449,A29,$B$6:$B$449,B29)</x:f>
        <x:v>0.0036630573126270453</x:v>
      </x:c>
      <x:c r="I29" s="9" t="n">
        <x:f>E29/SUMIFS($E$6:$E$449,$A$6:$A$449,A29,$B$6:$B$449,B29)</x:f>
        <x:v>0.007675883335735026</x:v>
      </x:c>
      <x:c r="J29" s="10" t="n">
        <x:f>(I29-H29)*100</x:f>
        <x:v>0.40128260231079815</x:v>
      </x:c>
      <x:c r="K29" s="2" t="n">
        <x:v>33</x:v>
      </x:c>
      <x:c r="L29" s="2" t="n">
        <x:v>24</x:v>
      </x:c>
      <x:c r="M29" s="2" t="n">
        <x:f>IF(OR(K29="",L29=""),"n.a.",K29-L29)</x:f>
        <x:v>9</x:v>
      </x:c>
    </x:row>
    <x:row r="30" ht="22" customHeight="1">
      <x:c r="A30" s="2" t="str">
        <x:v>全样本</x:v>
      </x:c>
      <x:c r="B30" s="2" t="str">
        <x:v>FY2025</x:v>
      </x:c>
      <x:c r="C30" s="2" t="str">
        <x:v>现代</x:v>
      </x:c>
      <x:c r="D30" s="8" t="n">
        <x:v>148648</x:v>
      </x:c>
      <x:c r="E30" s="8" t="n">
        <x:v>125234</x:v>
      </x:c>
      <x:c r="F30" s="8" t="n">
        <x:f>E30-D30</x:f>
        <x:v>-23414</x:v>
      </x:c>
      <x:c r="G30" s="9" t="n">
        <x:f>IF(D30=0,"n.a.",F30/D30)</x:f>
        <x:v>-0.15751305096604057</x:v>
      </x:c>
      <x:c r="H30" s="9" t="n">
        <x:f>D30/SUMIFS($D$6:$D$449,$A$6:$A$449,A30,$B$6:$B$449,B30)</x:f>
        <x:v>0.008743575165112566</x:v>
      </x:c>
      <x:c r="I30" s="9" t="n">
        <x:f>E30/SUMIFS($E$6:$E$449,$A$6:$A$449,A30,$B$6:$B$449,B30)</x:f>
        <x:v>0.00720703528739056</x:v>
      </x:c>
      <x:c r="J30" s="10" t="n">
        <x:f>(I30-H30)*100</x:f>
        <x:v>-0.15365398777220063</x:v>
      </x:c>
      <x:c r="K30" s="2" t="n">
        <x:v>20</x:v>
      </x:c>
      <x:c r="L30" s="2" t="n">
        <x:v>25</x:v>
      </x:c>
      <x:c r="M30" s="2" t="n">
        <x:f>IF(OR(K30="",L30=""),"n.a.",K30-L30)</x:f>
        <x:v>-5</x:v>
      </x:c>
    </x:row>
    <x:row r="31" ht="22" customHeight="1">
      <x:c r="A31" s="2" t="str">
        <x:v>全样本</x:v>
      </x:c>
      <x:c r="B31" s="2" t="str">
        <x:v>FY2025</x:v>
      </x:c>
      <x:c r="C31" s="2" t="str">
        <x:v>广汽传祺</x:v>
      </x:c>
      <x:c r="D31" s="8" t="n">
        <x:v>196484</x:v>
      </x:c>
      <x:c r="E31" s="8" t="n">
        <x:v>120140</x:v>
      </x:c>
      <x:c r="F31" s="8" t="n">
        <x:f>E31-D31</x:f>
        <x:v>-76344</x:v>
      </x:c>
      <x:c r="G31" s="9" t="n">
        <x:f>IF(D31=0,"n.a.",F31/D31)</x:f>
        <x:v>-0.38855072168726207</x:v>
      </x:c>
      <x:c r="H31" s="9" t="n">
        <x:f>D31/SUMIFS($D$6:$D$449,$A$6:$A$449,A31,$B$6:$B$449,B31)</x:f>
        <x:v>0.011557320803118625</x:v>
      </x:c>
      <x:c r="I31" s="9" t="n">
        <x:f>E31/SUMIFS($E$6:$E$449,$A$6:$A$449,A31,$B$6:$B$449,B31)</x:f>
        <x:v>0.00691388296650352</x:v>
      </x:c>
      <x:c r="J31" s="10" t="n">
        <x:f>(I31-H31)*100</x:f>
        <x:v>-0.46434378366151047</x:v>
      </x:c>
      <x:c r="K31" s="2" t="n">
        <x:v>18</x:v>
      </x:c>
      <x:c r="L31" s="2" t="n">
        <x:v>26</x:v>
      </x:c>
      <x:c r="M31" s="2" t="n">
        <x:f>IF(OR(K31="",L31=""),"n.a.",K31-L31)</x:f>
        <x:v>-8</x:v>
      </x:c>
    </x:row>
    <x:row r="32" ht="22" customHeight="1">
      <x:c r="A32" s="2" t="str">
        <x:v>全样本</x:v>
      </x:c>
      <x:c r="B32" s="2" t="str">
        <x:v>FY2025</x:v>
      </x:c>
      <x:c r="C32" s="2" t="str">
        <x:v>领克</x:v>
      </x:c>
      <x:c r="D32" s="8" t="n">
        <x:v>94304</x:v>
      </x:c>
      <x:c r="E32" s="8" t="n">
        <x:v>112455</x:v>
      </x:c>
      <x:c r="F32" s="8" t="n">
        <x:f>E32-D32</x:f>
        <x:v>18151</x:v>
      </x:c>
      <x:c r="G32" s="9" t="n">
        <x:f>IF(D32=0,"n.a.",F32/D32)</x:f>
        <x:v>0.19247327790973873</x:v>
      </x:c>
      <x:c r="H32" s="9" t="n">
        <x:f>D32/SUMIFS($D$6:$D$449,$A$6:$A$449,A32,$B$6:$B$449,B32)</x:f>
        <x:v>0.005547024597510733</x:v>
      </x:c>
      <x:c r="I32" s="9" t="n">
        <x:f>E32/SUMIFS($E$6:$E$449,$A$6:$A$449,A32,$B$6:$B$449,B32)</x:f>
        <x:v>0.006471622348910882</x:v>
      </x:c>
      <x:c r="J32" s="10" t="n">
        <x:f>(I32-H32)*100</x:f>
        <x:v>0.09245977514001488</x:v>
      </x:c>
      <x:c r="K32" s="2" t="n">
        <x:v>28</x:v>
      </x:c>
      <x:c r="L32" s="2" t="n">
        <x:v>27</x:v>
      </x:c>
      <x:c r="M32" s="2" t="n">
        <x:f>IF(OR(K32="",L32=""),"n.a.",K32-L32)</x:f>
        <x:v>1</x:v>
      </x:c>
    </x:row>
    <x:row r="33" ht="22" customHeight="1">
      <x:c r="A33" s="2" t="str">
        <x:v>全样本</x:v>
      </x:c>
      <x:c r="B33" s="2" t="str">
        <x:v>FY2025</x:v>
      </x:c>
      <x:c r="C33" s="2" t="str">
        <x:v>ARCFOX极狐</x:v>
      </x:c>
      <x:c r="D33" s="8" t="n">
        <x:v>41001</x:v>
      </x:c>
      <x:c r="E33" s="8" t="n">
        <x:v>110226</x:v>
      </x:c>
      <x:c r="F33" s="8" t="n">
        <x:f>E33-D33</x:f>
        <x:v>69225</x:v>
      </x:c>
      <x:c r="G33" s="9" t="n">
        <x:f>IF(D33=0,"n.a.",F33/D33)</x:f>
        <x:v>1.6883734543059925</x:v>
      </x:c>
      <x:c r="H33" s="9" t="n">
        <x:f>D33/SUMIFS($D$6:$D$449,$A$6:$A$449,A33,$B$6:$B$449,B33)</x:f>
        <x:v>0.002411706348856226</x:v>
      </x:c>
      <x:c r="I33" s="9" t="n">
        <x:f>E33/SUMIFS($E$6:$E$449,$A$6:$A$449,A33,$B$6:$B$449,B33)</x:f>
        <x:v>0.006343346627816023</x:v>
      </x:c>
      <x:c r="J33" s="10" t="n">
        <x:f>(I33-H33)*100</x:f>
        <x:v>0.39316402789597965</x:v>
      </x:c>
      <x:c r="K33" s="2" t="n">
        <x:v>39</x:v>
      </x:c>
      <x:c r="L33" s="2" t="n">
        <x:v>28</x:v>
      </x:c>
      <x:c r="M33" s="2" t="n">
        <x:f>IF(OR(K33="",L33=""),"n.a.",K33-L33)</x:f>
        <x:v>11</x:v>
      </x:c>
    </x:row>
    <x:row r="34" ht="22" customHeight="1">
      <x:c r="A34" s="2" t="str">
        <x:v>全样本</x:v>
      </x:c>
      <x:c r="B34" s="2" t="str">
        <x:v>FY2025</x:v>
      </x:c>
      <x:c r="C34" s="2" t="str">
        <x:v>腾势</x:v>
      </x:c>
      <x:c r="D34" s="8" t="n">
        <x:v>114193</x:v>
      </x:c>
      <x:c r="E34" s="8" t="n">
        <x:v>100858</x:v>
      </x:c>
      <x:c r="F34" s="8" t="n">
        <x:f>E34-D34</x:f>
        <x:v>-13335</x:v>
      </x:c>
      <x:c r="G34" s="9" t="n">
        <x:f>IF(D34=0,"n.a.",F34/D34)</x:f>
        <x:v>-0.11677598451743977</x:v>
      </x:c>
      <x:c r="H34" s="9" t="n">
        <x:f>D34/SUMIFS($D$6:$D$449,$A$6:$A$449,A34,$B$6:$B$449,B34)</x:f>
        <x:v>0.0067169089313660404</x:v>
      </x:c>
      <x:c r="I34" s="9" t="n">
        <x:f>E34/SUMIFS($E$6:$E$449,$A$6:$A$449,A34,$B$6:$B$449,B34)</x:f>
        <x:v>0.005804231798198868</x:v>
      </x:c>
      <x:c r="J34" s="10" t="n">
        <x:f>(I34-H34)*100</x:f>
        <x:v>-0.09126771331671724</x:v>
      </x:c>
      <x:c r="K34" s="2" t="n">
        <x:v>24</x:v>
      </x:c>
      <x:c r="L34" s="2" t="n">
        <x:v>29</x:v>
      </x:c>
      <x:c r="M34" s="2" t="n">
        <x:f>IF(OR(K34="",L34=""),"n.a.",K34-L34)</x:f>
        <x:v>-5</x:v>
      </x:c>
    </x:row>
    <x:row r="35" ht="22" customHeight="1">
      <x:c r="A35" s="2" t="str">
        <x:v>全样本</x:v>
      </x:c>
      <x:c r="B35" s="2" t="str">
        <x:v>FY2025</x:v>
      </x:c>
      <x:c r="C35" s="2" t="str">
        <x:v>福特</x:v>
      </x:c>
      <x:c r="D35" s="8" t="n">
        <x:v>123334</x:v>
      </x:c>
      <x:c r="E35" s="8" t="n">
        <x:v>99324</x:v>
      </x:c>
      <x:c r="F35" s="8" t="n">
        <x:f>E35-D35</x:f>
        <x:v>-24010</x:v>
      </x:c>
      <x:c r="G35" s="9" t="n">
        <x:f>IF(D35=0,"n.a.",F35/D35)</x:f>
        <x:v>-0.19467462338041416</x:v>
      </x:c>
      <x:c r="H35" s="9" t="n">
        <x:f>D35/SUMIFS($D$6:$D$449,$A$6:$A$449,A35,$B$6:$B$449,B35)</x:f>
        <x:v>0.007254588688808414</x:v>
      </x:c>
      <x:c r="I35" s="9" t="n">
        <x:f>E35/SUMIFS($E$6:$E$449,$A$6:$A$449,A35,$B$6:$B$449,B35)</x:f>
        <x:v>0.005715952320334574</x:v>
      </x:c>
      <x:c r="J35" s="10" t="n">
        <x:f>(I35-H35)*100</x:f>
        <x:v>-0.15386363684738402</x:v>
      </x:c>
      <x:c r="K35" s="2" t="n">
        <x:v>23</x:v>
      </x:c>
      <x:c r="L35" s="2" t="n">
        <x:v>30</x:v>
      </x:c>
      <x:c r="M35" s="2" t="n">
        <x:f>IF(OR(K35="",L35=""),"n.a.",K35-L35)</x:f>
        <x:v>-7</x:v>
      </x:c>
    </x:row>
    <x:row r="36" ht="22" customHeight="1">
      <x:c r="A36" s="2" t="str">
        <x:v>全样本</x:v>
      </x:c>
      <x:c r="B36" s="2" t="str">
        <x:v>FY2025</x:v>
      </x:c>
      <x:c r="C36" s="2" t="str">
        <x:v>凯迪拉克</x:v>
      </x:c>
      <x:c r="D36" s="8" t="n">
        <x:v>96677</x:v>
      </x:c>
      <x:c r="E36" s="8" t="n">
        <x:v>86192</x:v>
      </x:c>
      <x:c r="F36" s="8" t="n">
        <x:f>E36-D36</x:f>
        <x:v>-10485</x:v>
      </x:c>
      <x:c r="G36" s="9" t="n">
        <x:f>IF(D36=0,"n.a.",F36/D36)</x:f>
        <x:v>-0.10845392389089442</x:v>
      </x:c>
      <x:c r="H36" s="9" t="n">
        <x:f>D36/SUMIFS($D$6:$D$449,$A$6:$A$449,A36,$B$6:$B$449,B36)</x:f>
        <x:v>0.005686606050788356</x:v>
      </x:c>
      <x:c r="I36" s="9" t="n">
        <x:f>E36/SUMIFS($E$6:$E$449,$A$6:$A$449,A36,$B$6:$B$449,B36)</x:f>
        <x:v>0.004960224743206854</x:v>
      </x:c>
      <x:c r="J36" s="10" t="n">
        <x:f>(I36-H36)*100</x:f>
        <x:v>-0.07263813075815018</x:v>
      </x:c>
      <x:c r="K36" s="2" t="n">
        <x:v>27</x:v>
      </x:c>
      <x:c r="L36" s="2" t="n">
        <x:v>31</x:v>
      </x:c>
      <x:c r="M36" s="2" t="n">
        <x:f>IF(OR(K36="",L36=""),"n.a.",K36-L36)</x:f>
        <x:v>-4</x:v>
      </x:c>
    </x:row>
    <x:row r="37" ht="22" customHeight="1">
      <x:c r="A37" s="2" t="str">
        <x:v>全样本</x:v>
      </x:c>
      <x:c r="B37" s="2" t="str">
        <x:v>FY2025</x:v>
      </x:c>
      <x:c r="C37" s="2" t="str">
        <x:v>岚图汽车</x:v>
      </x:c>
      <x:c r="D37" s="8" t="n">
        <x:v>55117</x:v>
      </x:c>
      <x:c r="E37" s="8" t="n">
        <x:v>80248</x:v>
      </x:c>
      <x:c r="F37" s="8" t="n">
        <x:f>E37-D37</x:f>
        <x:v>25131</x:v>
      </x:c>
      <x:c r="G37" s="9" t="n">
        <x:f>IF(D37=0,"n.a.",F37/D37)</x:f>
        <x:v>0.4559573271404467</x:v>
      </x:c>
      <x:c r="H37" s="9" t="n">
        <x:f>D37/SUMIFS($D$6:$D$449,$A$6:$A$449,A37,$B$6:$B$449,B37)</x:f>
        <x:v>0.0032420189466088297</x:v>
      </x:c>
      <x:c r="I37" s="9" t="n">
        <x:f>E37/SUMIFS($E$6:$E$449,$A$6:$A$449,A37,$B$6:$B$449,B37)</x:f>
        <x:v>0.004618156153620563</x:v>
      </x:c>
      <x:c r="J37" s="10" t="n">
        <x:f>(I37-H37)*100</x:f>
        <x:v>0.13761372070117336</x:v>
      </x:c>
      <x:c r="K37" s="2" t="n">
        <x:v>36</x:v>
      </x:c>
      <x:c r="L37" s="2" t="n">
        <x:v>32</x:v>
      </x:c>
      <x:c r="M37" s="2" t="n">
        <x:f>IF(OR(K37="",L37=""),"n.a.",K37-L37)</x:f>
        <x:v>4</x:v>
      </x:c>
    </x:row>
    <x:row r="38" ht="22" customHeight="1">
      <x:c r="A38" s="2" t="str">
        <x:v>全样本</x:v>
      </x:c>
      <x:c r="B38" s="2" t="str">
        <x:v>FY2025</x:v>
      </x:c>
      <x:c r="C38" s="2" t="str">
        <x:v>起亚</x:v>
      </x:c>
      <x:c r="D38" s="8" t="n">
        <x:v>78817</x:v>
      </x:c>
      <x:c r="E38" s="8" t="n">
        <x:v>80198</x:v>
      </x:c>
      <x:c r="F38" s="8" t="n">
        <x:f>E38-D38</x:f>
        <x:v>1381</x:v>
      </x:c>
      <x:c r="G38" s="9" t="n">
        <x:f>IF(D38=0,"n.a.",F38/D38)</x:f>
        <x:v>0.01752160066990624</x:v>
      </x:c>
      <x:c r="H38" s="9" t="n">
        <x:f>D38/SUMIFS($D$6:$D$449,$A$6:$A$449,A38,$B$6:$B$449,B38)</x:f>
        <x:v>0.004636068859242486</x:v>
      </x:c>
      <x:c r="I38" s="9" t="n">
        <x:f>E38/SUMIFS($E$6:$E$449,$A$6:$A$449,A38,$B$6:$B$449,B38)</x:f>
        <x:v>0.004615278726050019</x:v>
      </x:c>
      <x:c r="J38" s="10" t="n">
        <x:f>(I38-H38)*100</x:f>
        <x:v>-0.002079013319246717</x:v>
      </x:c>
      <x:c r="K38" s="2" t="n">
        <x:v>31</x:v>
      </x:c>
      <x:c r="L38" s="2" t="n">
        <x:v>33</x:v>
      </x:c>
      <x:c r="M38" s="2" t="n">
        <x:f>IF(OR(K38="",L38=""),"n.a.",K38-L38)</x:f>
        <x:v>-2</x:v>
      </x:c>
    </x:row>
    <x:row r="39" ht="22" customHeight="1">
      <x:c r="A39" s="2" t="str">
        <x:v>全样本</x:v>
      </x:c>
      <x:c r="B39" s="2" t="str">
        <x:v>FY2025</x:v>
      </x:c>
      <x:c r="C39" s="2" t="str">
        <x:v>蔚来</x:v>
      </x:c>
      <x:c r="D39" s="8" t="n">
        <x:v>84623</x:v>
      </x:c>
      <x:c r="E39" s="8" t="n">
        <x:v>66334</x:v>
      </x:c>
      <x:c r="F39" s="8" t="n">
        <x:f>E39-D39</x:f>
        <x:v>-18289</x:v>
      </x:c>
      <x:c r="G39" s="9" t="n">
        <x:f>IF(D39=0,"n.a.",F39/D39)</x:f>
        <x:v>-0.21612327617787128</x:v>
      </x:c>
      <x:c r="H39" s="9" t="n">
        <x:f>D39/SUMIFS($D$6:$D$449,$A$6:$A$449,A39,$B$6:$B$449,B39)</x:f>
        <x:v>0.004977581677502022</x:v>
      </x:c>
      <x:c r="I39" s="9" t="n">
        <x:f>E39/SUMIFS($E$6:$E$449,$A$6:$A$449,A39,$B$6:$B$449,B39)</x:f>
        <x:v>0.003817425609289533</x:v>
      </x:c>
      <x:c r="J39" s="10" t="n">
        <x:f>(I39-H39)*100</x:f>
        <x:v>-0.11601560682124894</x:v>
      </x:c>
      <x:c r="K39" s="2" t="n">
        <x:v>29</x:v>
      </x:c>
      <x:c r="L39" s="2" t="n">
        <x:v>34</x:v>
      </x:c>
      <x:c r="M39" s="2" t="n">
        <x:f>IF(OR(K39="",L39=""),"n.a.",K39-L39)</x:f>
        <x:v>-5</x:v>
      </x:c>
    </x:row>
    <x:row r="40" ht="22" customHeight="1">
      <x:c r="A40" s="2" t="str">
        <x:v>全样本</x:v>
      </x:c>
      <x:c r="B40" s="2" t="str">
        <x:v>FY2025</x:v>
      </x:c>
      <x:c r="C40" s="2" t="str">
        <x:v>极氪</x:v>
      </x:c>
      <x:c r="D40" s="8" t="n">
        <x:v>124248</x:v>
      </x:c>
      <x:c r="E40" s="8" t="n">
        <x:v>62768</x:v>
      </x:c>
      <x:c r="F40" s="8" t="n">
        <x:f>E40-D40</x:f>
        <x:v>-61480</x:v>
      </x:c>
      <x:c r="G40" s="9" t="n">
        <x:f>IF(D40=0,"n.a.",F40/D40)</x:f>
        <x:v>-0.4948168179769493</x:v>
      </x:c>
      <x:c r="H40" s="9" t="n">
        <x:f>D40/SUMIFS($D$6:$D$449,$A$6:$A$449,A40,$B$6:$B$449,B40)</x:f>
        <x:v>0.0073083507824855095</x:v>
      </x:c>
      <x:c r="I40" s="9" t="n">
        <x:f>E40/SUMIFS($E$6:$E$449,$A$6:$A$449,A40,$B$6:$B$449,B40)</x:f>
        <x:v>0.003612207474958323</x:v>
      </x:c>
      <x:c r="J40" s="10" t="n">
        <x:f>(I40-H40)*100</x:f>
        <x:v>-0.3696143307527186</x:v>
      </x:c>
      <x:c r="K40" s="2" t="n">
        <x:v>22</x:v>
      </x:c>
      <x:c r="L40" s="2" t="n">
        <x:v>35</x:v>
      </x:c>
      <x:c r="M40" s="2" t="n">
        <x:f>IF(OR(K40="",L40=""),"n.a.",K40-L40)</x:f>
        <x:v>-13</x:v>
      </x:c>
    </x:row>
    <x:row r="41" ht="22" customHeight="1">
      <x:c r="A41" s="2" t="str">
        <x:v>全样本</x:v>
      </x:c>
      <x:c r="B41" s="2" t="str">
        <x:v>FY2025</x:v>
      </x:c>
      <x:c r="C41" s="2" t="str">
        <x:v>魏牌</x:v>
      </x:c>
      <x:c r="D41" s="8" t="n">
        <x:v>5633</x:v>
      </x:c>
      <x:c r="E41" s="8" t="n">
        <x:v>59449</x:v>
      </x:c>
      <x:c r="F41" s="8" t="n">
        <x:f>E41-D41</x:f>
        <x:v>53816</x:v>
      </x:c>
      <x:c r="G41" s="9" t="n">
        <x:f>IF(D41=0,"n.a.",F41/D41)</x:f>
        <x:v>9.55370140244985</x:v>
      </x:c>
      <x:c r="H41" s="9" t="n">
        <x:f>D41/SUMIFS($D$6:$D$449,$A$6:$A$449,A41,$B$6:$B$449,B41)</x:f>
        <x:v>0.0003313368421040248</x:v>
      </x:c>
      <x:c r="I41" s="9" t="n">
        <x:f>E41/SUMIFS($E$6:$E$449,$A$6:$A$449,A41,$B$6:$B$449,B41)</x:f>
        <x:v>0.0034212038328256017</x:v>
      </x:c>
      <x:c r="J41" s="10" t="n">
        <x:f>(I41-H41)*100</x:f>
        <x:v>0.3089866990721577</x:v>
      </x:c>
      <x:c r="K41" s="2" t="n">
        <x:v>70</x:v>
      </x:c>
      <x:c r="L41" s="2" t="n">
        <x:v>36</x:v>
      </x:c>
      <x:c r="M41" s="2" t="n">
        <x:f>IF(OR(K41="",L41=""),"n.a.",K41-L41)</x:f>
        <x:v>34</x:v>
      </x:c>
    </x:row>
    <x:row r="42" ht="22" customHeight="1">
      <x:c r="A42" s="2" t="str">
        <x:v>全样本</x:v>
      </x:c>
      <x:c r="B42" s="2" t="str">
        <x:v>FY2025</x:v>
      </x:c>
      <x:c r="C42" s="2" t="str">
        <x:v>阿维塔</x:v>
      </x:c>
      <x:c r="D42" s="8" t="n">
        <x:v>26658</x:v>
      </x:c>
      <x:c r="E42" s="8" t="n">
        <x:v>56219</x:v>
      </x:c>
      <x:c r="F42" s="8" t="n">
        <x:f>E42-D42</x:f>
        <x:v>29561</x:v>
      </x:c>
      <x:c r="G42" s="9" t="n">
        <x:f>IF(D42=0,"n.a.",F42/D42)</x:f>
        <x:v>1.1088978918148398</x:v>
      </x:c>
      <x:c r="H42" s="9" t="n">
        <x:f>D42/SUMIFS($D$6:$D$449,$A$6:$A$449,A42,$B$6:$B$449,B42)</x:f>
        <x:v>0.0015680414586914776</x:v>
      </x:c>
      <x:c r="I42" s="9" t="n">
        <x:f>E42/SUMIFS($E$6:$E$449,$A$6:$A$449,A42,$B$6:$B$449,B42)</x:f>
        <x:v>0.0032353220117684487</x:v>
      </x:c>
      <x:c r="J42" s="10" t="n">
        <x:f>(I42-H42)*100</x:f>
        <x:v>0.1667280553076971</x:v>
      </x:c>
      <x:c r="K42" s="2" t="n">
        <x:v>47</x:v>
      </x:c>
      <x:c r="L42" s="2" t="n">
        <x:v>37</x:v>
      </x:c>
      <x:c r="M42" s="2" t="n">
        <x:f>IF(OR(K42="",L42=""),"n.a.",K42-L42)</x:f>
        <x:v>10</x:v>
      </x:c>
    </x:row>
    <x:row r="43" ht="22" customHeight="1">
      <x:c r="A43" s="2" t="str">
        <x:v>全样本</x:v>
      </x:c>
      <x:c r="B43" s="2" t="str">
        <x:v>FY2025</x:v>
      </x:c>
      <x:c r="C43" s="2" t="str">
        <x:v>深蓝汽车</x:v>
      </x:c>
      <x:c r="D43" s="8" t="n">
        <x:v>65366</x:v>
      </x:c>
      <x:c r="E43" s="8" t="n">
        <x:v>54997</x:v>
      </x:c>
      <x:c r="F43" s="8" t="n">
        <x:f>E43-D43</x:f>
        <x:v>-10369</x:v>
      </x:c>
      <x:c r="G43" s="9" t="n">
        <x:f>IF(D43=0,"n.a.",F43/D43)</x:f>
        <x:v>-0.15862986873909984</x:v>
      </x:c>
      <x:c r="H43" s="9" t="n">
        <x:f>D43/SUMIFS($D$6:$D$449,$A$6:$A$449,A43,$B$6:$B$449,B43)</x:f>
        <x:v>0.003844872007983612</x:v>
      </x:c>
      <x:c r="I43" s="9" t="n">
        <x:f>E43/SUMIFS($E$6:$E$449,$A$6:$A$449,A43,$B$6:$B$449,B43)</x:f>
        <x:v>0.003164997681944349</x:v>
      </x:c>
      <x:c r="J43" s="10" t="n">
        <x:f>(I43-H43)*100</x:f>
        <x:v>-0.06798743260392628</x:v>
      </x:c>
      <x:c r="K43" s="2" t="n">
        <x:v>32</x:v>
      </x:c>
      <x:c r="L43" s="2" t="n">
        <x:v>38</x:v>
      </x:c>
      <x:c r="M43" s="2" t="n">
        <x:f>IF(OR(K43="",L43=""),"n.a.",K43-L43)</x:f>
        <x:v>-6</x:v>
      </x:c>
    </x:row>
    <x:row r="44" ht="22" customHeight="1">
      <x:c r="A44" s="2" t="str">
        <x:v>全样本</x:v>
      </x:c>
      <x:c r="B44" s="2" t="str">
        <x:v>FY2025</x:v>
      </x:c>
      <x:c r="C44" s="2" t="str">
        <x:v>奇瑞风云</x:v>
      </x:c>
      <x:c r="D44" s="8" t="n">
        <x:v>0</x:v>
      </x:c>
      <x:c r="E44" s="8" t="n">
        <x:v>51014</x:v>
      </x:c>
      <x:c r="F44" s="8" t="n">
        <x:f>E44-D44</x:f>
        <x:v>51014</x:v>
      </x:c>
      <x:c r="G44" s="9" t="str">
        <x:f>IF(D44=0,"n.a.",F44/D44)</x:f>
        <x:v>n.a.</x:v>
      </x:c>
      <x:c r="H44" s="9" t="n">
        <x:f>D44/SUMIFS($D$6:$D$449,$A$6:$A$449,A44,$B$6:$B$449,B44)</x:f>
        <x:v>0</x:v>
      </x:c>
      <x:c r="I44" s="9" t="n">
        <x:f>E44/SUMIFS($E$6:$E$449,$A$6:$A$449,A44,$B$6:$B$449,B44)</x:f>
        <x:v>0.002935781801674801</x:v>
      </x:c>
      <x:c r="J44" s="10" t="n">
        <x:f>(I44-H44)*100</x:f>
        <x:v>0.2935781801674801</x:v>
      </x:c>
      <x:c r="K44" s="2"/>
      <x:c r="L44" s="2" t="n">
        <x:v>39</x:v>
      </x:c>
      <x:c r="M44" s="2" t="str">
        <x:f>IF(OR(K44="",L44=""),"n.a.",K44-L44)</x:f>
        <x:v>n.a.</x:v>
      </x:c>
    </x:row>
    <x:row r="45" ht="22" customHeight="1">
      <x:c r="A45" s="2" t="str">
        <x:v>全样本</x:v>
      </x:c>
      <x:c r="B45" s="2" t="str">
        <x:v>FY2025</x:v>
      </x:c>
      <x:c r="C45" s="2" t="str">
        <x:v>鸿蒙智行</x:v>
      </x:c>
      <x:c r="D45" s="8" t="n">
        <x:v>33975</x:v>
      </x:c>
      <x:c r="E45" s="8" t="n">
        <x:v>47827</x:v>
      </x:c>
      <x:c r="F45" s="8" t="n">
        <x:f>E45-D45</x:f>
        <x:v>13852</x:v>
      </x:c>
      <x:c r="G45" s="9" t="n">
        <x:f>IF(D45=0,"n.a.",F45/D45)</x:f>
        <x:v>0.40771155261221487</x:v>
      </x:c>
      <x:c r="H45" s="9" t="n">
        <x:f>D45/SUMIFS($D$6:$D$449,$A$6:$A$449,A45,$B$6:$B$449,B45)</x:f>
        <x:v>0.001998432311465337</x:v>
      </x:c>
      <x:c r="I45" s="9" t="n">
        <x:f>E45/SUMIFS($E$6:$E$449,$A$6:$A$449,A45,$B$6:$B$449,B45)</x:f>
        <x:v>0.002752374568328316</x:v>
      </x:c>
      <x:c r="J45" s="10" t="n">
        <x:f>(I45-H45)*100</x:f>
        <x:v>0.07539422568629789</x:v>
      </x:c>
      <x:c r="K45" s="2" t="n">
        <x:v>43</x:v>
      </x:c>
      <x:c r="L45" s="2" t="n">
        <x:v>40</x:v>
      </x:c>
      <x:c r="M45" s="2" t="n">
        <x:f>IF(OR(K45="",L45=""),"n.a.",K45-L45)</x:f>
        <x:v>3</x:v>
      </x:c>
    </x:row>
    <x:row r="46" ht="22" customHeight="1">
      <x:c r="A46" s="2" t="str">
        <x:v>全样本</x:v>
      </x:c>
      <x:c r="B46" s="2" t="str">
        <x:v>FY2025</x:v>
      </x:c>
      <x:c r="C46" s="2" t="str">
        <x:v>沃尔沃</x:v>
      </x:c>
      <x:c r="D46" s="8" t="n">
        <x:v>56998</x:v>
      </x:c>
      <x:c r="E46" s="8" t="n">
        <x:v>47566</x:v>
      </x:c>
      <x:c r="F46" s="8" t="n">
        <x:f>E46-D46</x:f>
        <x:v>-9432</x:v>
      </x:c>
      <x:c r="G46" s="9" t="n">
        <x:f>IF(D46=0,"n.a.",F46/D46)</x:f>
        <x:v>-0.16547949050843888</x:v>
      </x:c>
      <x:c r="H46" s="9" t="n">
        <x:f>D46/SUMIFS($D$6:$D$449,$A$6:$A$449,A46,$B$6:$B$449,B46)</x:f>
        <x:v>0.003352660629548235</x:v>
      </x:c>
      <x:c r="I46" s="9" t="n">
        <x:f>E46/SUMIFS($E$6:$E$449,$A$6:$A$449,A46,$B$6:$B$449,B46)</x:f>
        <x:v>0.0027373543964100753</x:v>
      </x:c>
      <x:c r="J46" s="10" t="n">
        <x:f>(I46-H46)*100</x:f>
        <x:v>-0.06153062331381597</x:v>
      </x:c>
      <x:c r="K46" s="2" t="n">
        <x:v>35</x:v>
      </x:c>
      <x:c r="L46" s="2" t="n">
        <x:v>41</x:v>
      </x:c>
      <x:c r="M46" s="2" t="n">
        <x:f>IF(OR(K46="",L46=""),"n.a.",K46-L46)</x:f>
        <x:v>-6</x:v>
      </x:c>
    </x:row>
    <x:row r="47" ht="22" customHeight="1">
      <x:c r="A47" s="2" t="str">
        <x:v>全样本</x:v>
      </x:c>
      <x:c r="B47" s="2" t="str">
        <x:v>FY2025</x:v>
      </x:c>
      <x:c r="C47" s="2" t="str">
        <x:v>东风风行</x:v>
      </x:c>
      <x:c r="D47" s="8" t="n">
        <x:v>32874</x:v>
      </x:c>
      <x:c r="E47" s="8" t="n">
        <x:v>42649</x:v>
      </x:c>
      <x:c r="F47" s="8" t="n">
        <x:f>E47-D47</x:f>
        <x:v>9775</x:v>
      </x:c>
      <x:c r="G47" s="9" t="n">
        <x:f>IF(D47=0,"n.a.",F47/D47)</x:f>
        <x:v>0.2973474478311127</x:v>
      </x:c>
      <x:c r="H47" s="9" t="n">
        <x:f>D47/SUMIFS($D$6:$D$449,$A$6:$A$449,A47,$B$6:$B$449,B47)</x:f>
        <x:v>0.0019336707522328621</x:v>
      </x:c>
      <x:c r="I47" s="9" t="n">
        <x:f>E47/SUMIFS($E$6:$E$449,$A$6:$A$449,A47,$B$6:$B$449,B47)</x:f>
        <x:v>0.0024543881691227623</x:v>
      </x:c>
      <x:c r="J47" s="10" t="n">
        <x:f>(I47-H47)*100</x:f>
        <x:v>0.052071741688990016</x:v>
      </x:c>
      <x:c r="K47" s="2" t="n">
        <x:v>45</x:v>
      </x:c>
      <x:c r="L47" s="2" t="n">
        <x:v>42</x:v>
      </x:c>
      <x:c r="M47" s="2" t="n">
        <x:f>IF(OR(K47="",L47=""),"n.a.",K47-L47)</x:f>
        <x:v>3</x:v>
      </x:c>
    </x:row>
    <x:row r="48" ht="22" customHeight="1">
      <x:c r="A48" s="2" t="str">
        <x:v>全样本</x:v>
      </x:c>
      <x:c r="B48" s="2" t="str">
        <x:v>FY2025</x:v>
      </x:c>
      <x:c r="C48" s="2" t="str">
        <x:v>东风纳米</x:v>
      </x:c>
      <x:c r="D48" s="8" t="n">
        <x:v>37338</x:v>
      </x:c>
      <x:c r="E48" s="8" t="n">
        <x:v>39481</x:v>
      </x:c>
      <x:c r="F48" s="8" t="n">
        <x:f>E48-D48</x:f>
        <x:v>2143</x:v>
      </x:c>
      <x:c r="G48" s="9" t="n">
        <x:f>IF(D48=0,"n.a.",F48/D48)</x:f>
        <x:v>0.057394611387862234</x:v>
      </x:c>
      <x:c r="H48" s="9" t="n">
        <x:f>D48/SUMIFS($D$6:$D$449,$A$6:$A$449,A48,$B$6:$B$449,B48)</x:f>
        <x:v>0.0021962462294479105</x:v>
      </x:c>
      <x:c r="I48" s="9" t="n">
        <x:f>E48/SUMIFS($E$6:$E$449,$A$6:$A$449,A48,$B$6:$B$449,B48)</x:f>
        <x:v>0.0022720743582530837</x:v>
      </x:c>
      <x:c r="J48" s="10" t="n">
        <x:f>(I48-H48)*100</x:f>
        <x:v>0.007582812880517313</x:v>
      </x:c>
      <x:c r="K48" s="2" t="n">
        <x:v>42</x:v>
      </x:c>
      <x:c r="L48" s="2" t="n">
        <x:v>43</x:v>
      </x:c>
      <x:c r="M48" s="2" t="n">
        <x:f>IF(OR(K48="",L48=""),"n.a.",K48-L48)</x:f>
        <x:v>-1</x:v>
      </x:c>
    </x:row>
    <x:row r="49" ht="22" customHeight="1">
      <x:c r="A49" s="2" t="str">
        <x:v>全样本</x:v>
      </x:c>
      <x:c r="B49" s="2" t="str">
        <x:v>FY2025</x:v>
      </x:c>
      <x:c r="C49" s="2" t="str">
        <x:v>firefly萤火虫</x:v>
      </x:c>
      <x:c r="D49" s="8" t="n">
        <x:v>0</x:v>
      </x:c>
      <x:c r="E49" s="8" t="n">
        <x:v>38653</x:v>
      </x:c>
      <x:c r="F49" s="8" t="n">
        <x:f>E49-D49</x:f>
        <x:v>38653</x:v>
      </x:c>
      <x:c r="G49" s="9" t="str">
        <x:f>IF(D49=0,"n.a.",F49/D49)</x:f>
        <x:v>n.a.</x:v>
      </x:c>
      <x:c r="H49" s="9" t="n">
        <x:f>D49/SUMIFS($D$6:$D$449,$A$6:$A$449,A49,$B$6:$B$449,B49)</x:f>
        <x:v>0</x:v>
      </x:c>
      <x:c r="I49" s="9" t="n">
        <x:f>E49/SUMIFS($E$6:$E$449,$A$6:$A$449,A49,$B$6:$B$449,B49)</x:f>
        <x:v>0.0022244241576848726</x:v>
      </x:c>
      <x:c r="J49" s="10" t="n">
        <x:f>(I49-H49)*100</x:f>
        <x:v>0.22244241576848725</x:v>
      </x:c>
      <x:c r="K49" s="2"/>
      <x:c r="L49" s="2" t="n">
        <x:v>44</x:v>
      </x:c>
      <x:c r="M49" s="2" t="str">
        <x:f>IF(OR(K49="",L49=""),"n.a.",K49-L49)</x:f>
        <x:v>n.a.</x:v>
      </x:c>
    </x:row>
    <x:row r="50" ht="22" customHeight="1">
      <x:c r="A50" s="2" t="str">
        <x:v>全样本</x:v>
      </x:c>
      <x:c r="B50" s="2" t="str">
        <x:v>FY2025</x:v>
      </x:c>
      <x:c r="C50" s="2" t="str">
        <x:v>捷达</x:v>
      </x:c>
      <x:c r="D50" s="8" t="n">
        <x:v>37522</x:v>
      </x:c>
      <x:c r="E50" s="8" t="n">
        <x:v>36644</x:v>
      </x:c>
      <x:c r="F50" s="8" t="n">
        <x:f>E50-D50</x:f>
        <x:v>-878</x:v>
      </x:c>
      <x:c r="G50" s="9" t="n">
        <x:f>IF(D50=0,"n.a.",F50/D50)</x:f>
        <x:v>-0.023399605564735356</x:v>
      </x:c>
      <x:c r="H50" s="9" t="n">
        <x:f>D50/SUMIFS($D$6:$D$449,$A$6:$A$449,A50,$B$6:$B$449,B50)</x:f>
        <x:v>0.0022070692329890325</x:v>
      </x:c>
      <x:c r="I50" s="9" t="n">
        <x:f>E50/SUMIFS($E$6:$E$449,$A$6:$A$449,A50,$B$6:$B$449,B50)</x:f>
        <x:v>0.002108809117900408</x:v>
      </x:c>
      <x:c r="J50" s="10" t="n">
        <x:f>(I50-H50)*100</x:f>
        <x:v>-0.009826011508862458</x:v>
      </x:c>
      <x:c r="K50" s="2" t="n">
        <x:v>41</x:v>
      </x:c>
      <x:c r="L50" s="2" t="n">
        <x:v>45</x:v>
      </x:c>
      <x:c r="M50" s="2" t="n">
        <x:f>IF(OR(K50="",L50=""),"n.a.",K50-L50)</x:f>
        <x:v>-4</x:v>
      </x:c>
    </x:row>
    <x:row r="51" ht="22" customHeight="1">
      <x:c r="A51" s="2" t="str">
        <x:v>全样本</x:v>
      </x:c>
      <x:c r="B51" s="2" t="str">
        <x:v>FY2025</x:v>
      </x:c>
      <x:c r="C51" s="2" t="str">
        <x:v>马自达</x:v>
      </x:c>
      <x:c r="D51" s="8" t="n">
        <x:v>33025</x:v>
      </x:c>
      <x:c r="E51" s="8" t="n">
        <x:v>33840</x:v>
      </x:c>
      <x:c r="F51" s="8" t="n">
        <x:f>E51-D51</x:f>
        <x:v>815</x:v>
      </x:c>
      <x:c r="G51" s="9" t="n">
        <x:f>IF(D51=0,"n.a.",F51/D51)</x:f>
        <x:v>0.024678274034822104</x:v>
      </x:c>
      <x:c r="H51" s="9" t="n">
        <x:f>D51/SUMIFS($D$6:$D$449,$A$6:$A$449,A51,$B$6:$B$449,B51)</x:f>
        <x:v>0.0019425526736171525</x:v>
      </x:c>
      <x:c r="I51" s="9" t="n">
        <x:f>E51/SUMIFS($E$6:$E$449,$A$6:$A$449,A51,$B$6:$B$449,B51)</x:f>
        <x:v>0.001947442979744291</x:v>
      </x:c>
      <x:c r="J51" s="10" t="n">
        <x:f>(I51-H51)*100</x:f>
        <x:v>0.0004890306127138628</x:v>
      </x:c>
      <x:c r="K51" s="2" t="n">
        <x:v>44</x:v>
      </x:c>
      <x:c r="L51" s="2" t="n">
        <x:v>46</x:v>
      </x:c>
      <x:c r="M51" s="2" t="n">
        <x:f>IF(OR(K51="",L51=""),"n.a.",K51-L51)</x:f>
        <x:v>-2</x:v>
      </x:c>
    </x:row>
    <x:row r="52" ht="22" customHeight="1">
      <x:c r="A52" s="2" t="str">
        <x:v>全样本</x:v>
      </x:c>
      <x:c r="B52" s="2" t="str">
        <x:v>FY2025</x:v>
      </x:c>
      <x:c r="C52" s="2" t="str">
        <x:v>奇瑞新能源</x:v>
      </x:c>
      <x:c r="D52" s="8" t="n">
        <x:v>40331</x:v>
      </x:c>
      <x:c r="E52" s="8" t="n">
        <x:v>29760</x:v>
      </x:c>
      <x:c r="F52" s="8" t="n">
        <x:f>E52-D52</x:f>
        <x:v>-10571</x:v>
      </x:c>
      <x:c r="G52" s="9" t="n">
        <x:f>IF(D52=0,"n.a.",F52/D52)</x:f>
        <x:v>-0.26210607225211374</x:v>
      </x:c>
      <x:c r="H52" s="9" t="n">
        <x:f>D52/SUMIFS($D$6:$D$449,$A$6:$A$449,A52,$B$6:$B$449,B52)</x:f>
        <x:v>0.002372296499005401</x:v>
      </x:c>
      <x:c r="I52" s="9" t="n">
        <x:f>E52/SUMIFS($E$6:$E$449,$A$6:$A$449,A52,$B$6:$B$449,B52)</x:f>
        <x:v>0.0017126448899878871</x:v>
      </x:c>
      <x:c r="J52" s="10" t="n">
        <x:f>(I52-H52)*100</x:f>
        <x:v>-0.06596516090175139</x:v>
      </x:c>
      <x:c r="K52" s="2" t="n">
        <x:v>40</x:v>
      </x:c>
      <x:c r="L52" s="2" t="n">
        <x:v>47</x:v>
      </x:c>
      <x:c r="M52" s="2" t="n">
        <x:f>IF(OR(K52="",L52=""),"n.a.",K52-L52)</x:f>
        <x:v>-7</x:v>
      </x:c>
    </x:row>
    <x:row r="53" ht="22" customHeight="1">
      <x:c r="A53" s="2" t="str">
        <x:v>全样本</x:v>
      </x:c>
      <x:c r="B53" s="2" t="str">
        <x:v>FY2025</x:v>
      </x:c>
      <x:c r="C53" s="2" t="str">
        <x:v>欧拉</x:v>
      </x:c>
      <x:c r="D53" s="8" t="n">
        <x:v>47756</x:v>
      </x:c>
      <x:c r="E53" s="8" t="n">
        <x:v>29700</x:v>
      </x:c>
      <x:c r="F53" s="8" t="n">
        <x:f>E53-D53</x:f>
        <x:v>-18056</x:v>
      </x:c>
      <x:c r="G53" s="9" t="n">
        <x:f>IF(D53=0,"n.a.",F53/D53)</x:f>
        <x:v>-0.37808861713711367</x:v>
      </x:c>
      <x:c r="H53" s="9" t="n">
        <x:f>D53/SUMIFS($D$6:$D$449,$A$6:$A$449,A53,$B$6:$B$449,B53)</x:f>
        <x:v>0.002809039984292528</x:v>
      </x:c>
      <x:c r="I53" s="9" t="n">
        <x:f>E53/SUMIFS($E$6:$E$449,$A$6:$A$449,A53,$B$6:$B$449,B53)</x:f>
        <x:v>0.0017091919769032342</x:v>
      </x:c>
      <x:c r="J53" s="10" t="n">
        <x:f>(I53-H53)*100</x:f>
        <x:v>-0.10998480073892937</x:v>
      </x:c>
      <x:c r="K53" s="2" t="n">
        <x:v>37</x:v>
      </x:c>
      <x:c r="L53" s="2" t="n">
        <x:v>48</x:v>
      </x:c>
      <x:c r="M53" s="2" t="n">
        <x:f>IF(OR(K53="",L53=""),"n.a.",K53-L53)</x:f>
        <x:v>-11</x:v>
      </x:c>
    </x:row>
    <x:row r="54" ht="22" customHeight="1">
      <x:c r="A54" s="2" t="str">
        <x:v>全样本</x:v>
      </x:c>
      <x:c r="B54" s="2" t="str">
        <x:v>FY2025</x:v>
      </x:c>
      <x:c r="C54" s="2" t="str">
        <x:v>东风奕派</x:v>
      </x:c>
      <x:c r="D54" s="8" t="n">
        <x:v>26689</x:v>
      </x:c>
      <x:c r="E54" s="8" t="n">
        <x:v>23904</x:v>
      </x:c>
      <x:c r="F54" s="8" t="n">
        <x:f>E54-D54</x:f>
        <x:v>-2785</x:v>
      </x:c>
      <x:c r="G54" s="9" t="n">
        <x:f>IF(D54=0,"n.a.",F54/D54)</x:f>
        <x:v>-0.10435010678556708</x:v>
      </x:c>
      <x:c r="H54" s="9" t="n">
        <x:f>D54/SUMIFS($D$6:$D$449,$A$6:$A$449,A54,$B$6:$B$449,B54)</x:f>
        <x:v>0.001569864899505471</x:v>
      </x:c>
      <x:c r="I54" s="9" t="n">
        <x:f>E54/SUMIFS($E$6:$E$449,$A$6:$A$449,A54,$B$6:$B$449,B54)</x:f>
        <x:v>0.0013756405729257546</x:v>
      </x:c>
      <x:c r="J54" s="10" t="n">
        <x:f>(I54-H54)*100</x:f>
        <x:v>-0.01942243265797164</x:v>
      </x:c>
      <x:c r="K54" s="2" t="n">
        <x:v>46</x:v>
      </x:c>
      <x:c r="L54" s="2" t="n">
        <x:v>49</x:v>
      </x:c>
      <x:c r="M54" s="2" t="n">
        <x:f>IF(OR(K54="",L54=""),"n.a.",K54-L54)</x:f>
        <x:v>-3</x:v>
      </x:c>
    </x:row>
    <x:row r="55" ht="22" customHeight="1">
      <x:c r="A55" s="2" t="str">
        <x:v>全样本</x:v>
      </x:c>
      <x:c r="B55" s="2" t="str">
        <x:v>FY2025</x:v>
      </x:c>
      <x:c r="C55" s="2" t="str">
        <x:v>智己汽车</x:v>
      </x:c>
      <x:c r="D55" s="8" t="n">
        <x:v>24594</x:v>
      </x:c>
      <x:c r="E55" s="8" t="n">
        <x:v>21175</x:v>
      </x:c>
      <x:c r="F55" s="8" t="n">
        <x:f>E55-D55</x:f>
        <x:v>-3419</x:v>
      </x:c>
      <x:c r="G55" s="9" t="n">
        <x:f>IF(D55=0,"n.a.",F55/D55)</x:f>
        <x:v>-0.13901764658046678</x:v>
      </x:c>
      <x:c r="H55" s="9" t="n">
        <x:f>D55/SUMIFS($D$6:$D$449,$A$6:$A$449,A55,$B$6:$B$449,B55)</x:f>
        <x:v>0.0014466355928823694</x:v>
      </x:c>
      <x:c r="I55" s="9" t="n">
        <x:f>E55/SUMIFS($E$6:$E$449,$A$6:$A$449,A55,$B$6:$B$449,B55)</x:f>
        <x:v>0.001218590576125454</x:v>
      </x:c>
      <x:c r="J55" s="10" t="n">
        <x:f>(I55-H55)*100</x:f>
        <x:v>-0.022804501675691535</x:v>
      </x:c>
      <x:c r="K55" s="2" t="n">
        <x:v>50</x:v>
      </x:c>
      <x:c r="L55" s="2" t="n">
        <x:v>50</x:v>
      </x:c>
      <x:c r="M55" s="2" t="n">
        <x:f>IF(OR(K55="",L55=""),"n.a.",K55-L55)</x:f>
        <x:v>0</x:v>
      </x:c>
    </x:row>
    <x:row r="56" ht="22" customHeight="1">
      <x:c r="A56" s="2" t="str">
        <x:v>全样本</x:v>
      </x:c>
      <x:c r="B56" s="2" t="str">
        <x:v>FY2025</x:v>
      </x:c>
      <x:c r="C56" s="2" t="str">
        <x:v>北汽制造</x:v>
      </x:c>
      <x:c r="D56" s="8" t="n">
        <x:v>14474</x:v>
      </x:c>
      <x:c r="E56" s="8" t="n">
        <x:v>18606</x:v>
      </x:c>
      <x:c r="F56" s="8" t="n">
        <x:f>E56-D56</x:f>
        <x:v>4132</x:v>
      </x:c>
      <x:c r="G56" s="9" t="n">
        <x:f>IF(D56=0,"n.a.",F56/D56)</x:f>
        <x:v>0.2854774077656487</x:v>
      </x:c>
      <x:c r="H56" s="9" t="n">
        <x:f>D56/SUMIFS($D$6:$D$449,$A$6:$A$449,A56,$B$6:$B$449,B56)</x:f>
        <x:v>0.0008513703981206561</x:v>
      </x:c>
      <x:c r="I56" s="9" t="n">
        <x:f>E56/SUMIFS($E$6:$E$449,$A$6:$A$449,A56,$B$6:$B$449,B56)</x:f>
        <x:v>0.0010707483475508948</x:v>
      </x:c>
      <x:c r="J56" s="10" t="n">
        <x:f>(I56-H56)*100</x:f>
        <x:v>0.021937794943023874</x:v>
      </x:c>
      <x:c r="K56" s="2" t="n">
        <x:v>56</x:v>
      </x:c>
      <x:c r="L56" s="2" t="n">
        <x:v>51</x:v>
      </x:c>
      <x:c r="M56" s="2" t="n">
        <x:f>IF(OR(K56="",L56=""),"n.a.",K56-L56)</x:f>
        <x:v>5</x:v>
      </x:c>
    </x:row>
    <x:row r="57" ht="22" customHeight="1">
      <x:c r="A57" s="2" t="str">
        <x:v>全样本</x:v>
      </x:c>
      <x:c r="B57" s="2" t="str">
        <x:v>FY2025</x:v>
      </x:c>
      <x:c r="C57" s="2" t="str">
        <x:v>理想汽车</x:v>
      </x:c>
      <x:c r="D57" s="8" t="n">
        <x:v>10798</x:v>
      </x:c>
      <x:c r="E57" s="8" t="n">
        <x:v>18541</x:v>
      </x:c>
      <x:c r="F57" s="8" t="n">
        <x:f>E57-D57</x:f>
        <x:v>7743</x:v>
      </x:c>
      <x:c r="G57" s="9" t="n">
        <x:f>IF(D57=0,"n.a.",F57/D57)</x:f>
        <x:v>0.7170772365252824</x:v>
      </x:c>
      <x:c r="H57" s="9" t="n">
        <x:f>D57/SUMIFS($D$6:$D$449,$A$6:$A$449,A57,$B$6:$B$449,B57)</x:f>
        <x:v>0.0006351456099838914</x:v>
      </x:c>
      <x:c r="I57" s="9" t="n">
        <x:f>E57/SUMIFS($E$6:$E$449,$A$6:$A$449,A57,$B$6:$B$449,B57)</x:f>
        <x:v>0.0010670076917091873</x:v>
      </x:c>
      <x:c r="J57" s="10" t="n">
        <x:f>(I57-H57)*100</x:f>
        <x:v>0.0431862081725296</x:v>
      </x:c>
      <x:c r="K57" s="2" t="n">
        <x:v>65</x:v>
      </x:c>
      <x:c r="L57" s="2" t="n">
        <x:v>52</x:v>
      </x:c>
      <x:c r="M57" s="2" t="n">
        <x:f>IF(OR(K57="",L57=""),"n.a.",K57-L57)</x:f>
        <x:v>13</x:v>
      </x:c>
    </x:row>
    <x:row r="58" ht="22" customHeight="1">
      <x:c r="A58" s="2" t="str">
        <x:v>全样本</x:v>
      </x:c>
      <x:c r="B58" s="2" t="str">
        <x:v>FY2025</x:v>
      </x:c>
      <x:c r="C58" s="2" t="str">
        <x:v>标致</x:v>
      </x:c>
      <x:c r="D58" s="8" t="n">
        <x:v>25427</x:v>
      </x:c>
      <x:c r="E58" s="8" t="n">
        <x:v>17730</x:v>
      </x:c>
      <x:c r="F58" s="8" t="n">
        <x:f>E58-D58</x:f>
        <x:v>-7697</x:v>
      </x:c>
      <x:c r="G58" s="9" t="n">
        <x:f>IF(D58=0,"n.a.",F58/D58)</x:f>
        <x:v>-0.3027097180162819</x:v>
      </x:c>
      <x:c r="H58" s="9" t="n">
        <x:f>D58/SUMIFS($D$6:$D$449,$A$6:$A$449,A58,$B$6:$B$449,B58)</x:f>
        <x:v>0.0014956332121745144</x:v>
      </x:c>
      <x:c r="I58" s="9" t="n">
        <x:f>E58/SUMIFS($E$6:$E$449,$A$6:$A$449,A58,$B$6:$B$449,B58)</x:f>
        <x:v>0.001020335816514961</x:v>
      </x:c>
      <x:c r="J58" s="10" t="n">
        <x:f>(I58-H58)*100</x:f>
        <x:v>-0.047529739565955346</x:v>
      </x:c>
      <x:c r="K58" s="2" t="n">
        <x:v>49</x:v>
      </x:c>
      <x:c r="L58" s="2" t="n">
        <x:v>53</x:v>
      </x:c>
      <x:c r="M58" s="2" t="n">
        <x:f>IF(OR(K58="",L58=""),"n.a.",K58-L58)</x:f>
        <x:v>-4</x:v>
      </x:c>
    </x:row>
    <x:row r="59" ht="22" customHeight="1">
      <x:c r="A59" s="2" t="str">
        <x:v>全样本</x:v>
      </x:c>
      <x:c r="B59" s="2" t="str">
        <x:v>FY2025</x:v>
      </x:c>
      <x:c r="C59" s="2" t="str">
        <x:v>大通</x:v>
      </x:c>
      <x:c r="D59" s="8" t="n">
        <x:v>22182</x:v>
      </x:c>
      <x:c r="E59" s="8" t="n">
        <x:v>17180</x:v>
      </x:c>
      <x:c r="F59" s="8" t="n">
        <x:f>E59-D59</x:f>
        <x:v>-5002</x:v>
      </x:c>
      <x:c r="G59" s="9" t="n">
        <x:f>IF(D59=0,"n.a.",F59/D59)</x:f>
        <x:v>-0.22549815165449463</x:v>
      </x:c>
      <x:c r="H59" s="9" t="n">
        <x:f>D59/SUMIFS($D$6:$D$449,$A$6:$A$449,A59,$B$6:$B$449,B59)</x:f>
        <x:v>0.0013047601334193997</x:v>
      </x:c>
      <x:c r="I59" s="9" t="n">
        <x:f>E59/SUMIFS($E$6:$E$449,$A$6:$A$449,A59,$B$6:$B$449,B59)</x:f>
        <x:v>0.0009886841132389751</x:v>
      </x:c>
      <x:c r="J59" s="10" t="n">
        <x:f>(I59-H59)*100</x:f>
        <x:v>-0.03160760201804246</x:v>
      </x:c>
      <x:c r="K59" s="2" t="n">
        <x:v>52</x:v>
      </x:c>
      <x:c r="L59" s="2" t="n">
        <x:v>54</x:v>
      </x:c>
      <x:c r="M59" s="2" t="n">
        <x:f>IF(OR(K59="",L59=""),"n.a.",K59-L59)</x:f>
        <x:v>-2</x:v>
      </x:c>
    </x:row>
    <x:row r="60" ht="22" customHeight="1">
      <x:c r="A60" s="2" t="str">
        <x:v>全样本</x:v>
      </x:c>
      <x:c r="B60" s="2" t="str">
        <x:v>FY2025</x:v>
      </x:c>
      <x:c r="C60" s="2" t="str">
        <x:v>曹操汽车</x:v>
      </x:c>
      <x:c r="D60" s="8" t="n">
        <x:v>13991</x:v>
      </x:c>
      <x:c r="E60" s="8" t="n">
        <x:v>17139</x:v>
      </x:c>
      <x:c r="F60" s="8" t="n">
        <x:f>E60-D60</x:f>
        <x:v>3148</x:v>
      </x:c>
      <x:c r="G60" s="9" t="n">
        <x:f>IF(D60=0,"n.a.",F60/D60)</x:f>
        <x:v>0.22500178686298333</x:v>
      </x:c>
      <x:c r="H60" s="9" t="n">
        <x:f>D60/SUMIFS($D$6:$D$449,$A$6:$A$449,A60,$B$6:$B$449,B60)</x:f>
        <x:v>0.0008229600138252106</x:v>
      </x:c>
      <x:c r="I60" s="9" t="n">
        <x:f>E60/SUMIFS($E$6:$E$449,$A$6:$A$449,A60,$B$6:$B$449,B60)</x:f>
        <x:v>0.000986324622631129</x:v>
      </x:c>
      <x:c r="J60" s="10" t="n">
        <x:f>(I60-H60)*100</x:f>
        <x:v>0.016336460880591836</x:v>
      </x:c>
      <x:c r="K60" s="2" t="n">
        <x:v>57</x:v>
      </x:c>
      <x:c r="L60" s="2" t="n">
        <x:v>55</x:v>
      </x:c>
      <x:c r="M60" s="2" t="n">
        <x:f>IF(OR(K60="",L60=""),"n.a.",K60-L60)</x:f>
        <x:v>2</x:v>
      </x:c>
    </x:row>
    <x:row r="61" ht="22" customHeight="1">
      <x:c r="A61" s="2" t="str">
        <x:v>全样本</x:v>
      </x:c>
      <x:c r="B61" s="2" t="str">
        <x:v>FY2025</x:v>
      </x:c>
      <x:c r="C61" s="2" t="str">
        <x:v>雪铁龙</x:v>
      </x:c>
      <x:c r="D61" s="8" t="n">
        <x:v>14975</x:v>
      </x:c>
      <x:c r="E61" s="8" t="n">
        <x:v>15960</x:v>
      </x:c>
      <x:c r="F61" s="8" t="n">
        <x:f>E61-D61</x:f>
        <x:v>985</x:v>
      </x:c>
      <x:c r="G61" s="9" t="n">
        <x:f>IF(D61=0,"n.a.",F61/D61)</x:f>
        <x:v>0.0657762938230384</x:v>
      </x:c>
      <x:c r="H61" s="9" t="n">
        <x:f>D61/SUMIFS($D$6:$D$449,$A$6:$A$449,A61,$B$6:$B$449,B61)</x:f>
        <x:v>0.000880839554501646</x:v>
      </x:c>
      <x:c r="I61" s="9" t="n">
        <x:f>E61/SUMIFS($E$6:$E$449,$A$6:$A$449,A61,$B$6:$B$449,B61)</x:f>
        <x:v>0.0009184748805176976</x:v>
      </x:c>
      <x:c r="J61" s="10" t="n">
        <x:f>(I61-H61)*100</x:f>
        <x:v>0.003763532601605156</x:v>
      </x:c>
      <x:c r="K61" s="2" t="n">
        <x:v>55</x:v>
      </x:c>
      <x:c r="L61" s="2" t="n">
        <x:v>56</x:v>
      </x:c>
      <x:c r="M61" s="2" t="n">
        <x:f>IF(OR(K61="",L61=""),"n.a.",K61-L61)</x:f>
        <x:v>-1</x:v>
      </x:c>
    </x:row>
    <x:row r="62" ht="22" customHeight="1">
      <x:c r="A62" s="2" t="str">
        <x:v>全样本</x:v>
      </x:c>
      <x:c r="B62" s="2" t="str">
        <x:v>FY2025</x:v>
      </x:c>
      <x:c r="C62" s="2" t="str">
        <x:v>北京汽车</x:v>
      </x:c>
      <x:c r="D62" s="8" t="n">
        <x:v>26601</x:v>
      </x:c>
      <x:c r="E62" s="8" t="n">
        <x:v>15524</x:v>
      </x:c>
      <x:c r="F62" s="8" t="n">
        <x:f>E62-D62</x:f>
        <x:v>-11077</x:v>
      </x:c>
      <x:c r="G62" s="9" t="n">
        <x:f>IF(D62=0,"n.a.",F62/D62)</x:f>
        <x:v>-0.4164129168076388</x:v>
      </x:c>
      <x:c r="H62" s="9" t="n">
        <x:f>D62/SUMIFS($D$6:$D$449,$A$6:$A$449,A62,$B$6:$B$449,B62)</x:f>
        <x:v>0.0015646886804205867</x:v>
      </x:c>
      <x:c r="I62" s="9" t="n">
        <x:f>E62/SUMIFS($E$6:$E$449,$A$6:$A$449,A62,$B$6:$B$449,B62)</x:f>
        <x:v>0.0008933837121025525</x:v>
      </x:c>
      <x:c r="J62" s="10" t="n">
        <x:f>(I62-H62)*100</x:f>
        <x:v>-0.06713049683180342</x:v>
      </x:c>
      <x:c r="K62" s="2" t="n">
        <x:v>48</x:v>
      </x:c>
      <x:c r="L62" s="2" t="n">
        <x:v>57</x:v>
      </x:c>
      <x:c r="M62" s="2" t="n">
        <x:f>IF(OR(K62="",L62=""),"n.a.",K62-L62)</x:f>
        <x:v>-9</x:v>
      </x:c>
    </x:row>
    <x:row r="63" ht="22" customHeight="1">
      <x:c r="A63" s="2" t="str">
        <x:v>全样本</x:v>
      </x:c>
      <x:c r="B63" s="2" t="str">
        <x:v>FY2025</x:v>
      </x:c>
      <x:c r="C63" s="2" t="str">
        <x:v>东风风神</x:v>
      </x:c>
      <x:c r="D63" s="8" t="n">
        <x:v>22284</x:v>
      </x:c>
      <x:c r="E63" s="8" t="n">
        <x:v>14128</x:v>
      </x:c>
      <x:c r="F63" s="8" t="n">
        <x:f>E63-D63</x:f>
        <x:v>-8156</x:v>
      </x:c>
      <x:c r="G63" s="9" t="n">
        <x:f>IF(D63=0,"n.a.",F63/D63)</x:f>
        <x:v>-0.3660025130138216</x:v>
      </x:c>
      <x:c r="H63" s="9" t="n">
        <x:f>D63/SUMIFS($D$6:$D$449,$A$6:$A$449,A63,$B$6:$B$449,B63)</x:f>
        <x:v>0.0013107598419041522</x:v>
      </x:c>
      <x:c r="I63" s="9" t="n">
        <x:f>E63/SUMIFS($E$6:$E$449,$A$6:$A$449,A63,$B$6:$B$449,B63)</x:f>
        <x:v>0.0008130459343329594</x:v>
      </x:c>
      <x:c r="J63" s="10" t="n">
        <x:f>(I63-H63)*100</x:f>
        <x:v>-0.049771390757119276</x:v>
      </x:c>
      <x:c r="K63" s="2" t="n">
        <x:v>51</x:v>
      </x:c>
      <x:c r="L63" s="2" t="n">
        <x:v>58</x:v>
      </x:c>
      <x:c r="M63" s="2" t="n">
        <x:f>IF(OR(K63="",L63=""),"n.a.",K63-L63)</x:f>
        <x:v>-7</x:v>
      </x:c>
    </x:row>
    <x:row r="64" ht="22" customHeight="1">
      <x:c r="A64" s="2" t="str">
        <x:v>全样本</x:v>
      </x:c>
      <x:c r="B64" s="2" t="str">
        <x:v>FY2025</x:v>
      </x:c>
      <x:c r="C64" s="2" t="str">
        <x:v>捷豹</x:v>
      </x:c>
      <x:c r="D64" s="8" t="n">
        <x:v>17485</x:v>
      </x:c>
      <x:c r="E64" s="8" t="n">
        <x:v>13839</x:v>
      </x:c>
      <x:c r="F64" s="8" t="n">
        <x:f>E64-D64</x:f>
        <x:v>-3646</x:v>
      </x:c>
      <x:c r="G64" s="9" t="n">
        <x:f>IF(D64=0,"n.a.",F64/D64)</x:f>
        <x:v>-0.20852158993422934</x:v>
      </x:c>
      <x:c r="H64" s="9" t="n">
        <x:f>D64/SUMIFS($D$6:$D$449,$A$6:$A$449,A64,$B$6:$B$449,B64)</x:f>
        <x:v>0.0010284794397636915</x:v>
      </x:c>
      <x:c r="I64" s="9" t="n">
        <x:f>E64/SUMIFS($E$6:$E$449,$A$6:$A$449,A64,$B$6:$B$449,B64)</x:f>
        <x:v>0.000796414402975214</x:v>
      </x:c>
      <x:c r="J64" s="10" t="n">
        <x:f>(I64-H64)*100</x:f>
        <x:v>-0.02320650367884775</x:v>
      </x:c>
      <x:c r="K64" s="2" t="n">
        <x:v>54</x:v>
      </x:c>
      <x:c r="L64" s="2" t="n">
        <x:v>59</x:v>
      </x:c>
      <x:c r="M64" s="2" t="n">
        <x:f>IF(OR(K64="",L64=""),"n.a.",K64-L64)</x:f>
        <x:v>-5</x:v>
      </x:c>
    </x:row>
    <x:row r="65" ht="22" customHeight="1">
      <x:c r="A65" s="2" t="str">
        <x:v>全样本</x:v>
      </x:c>
      <x:c r="B65" s="2" t="str">
        <x:v>FY2025</x:v>
      </x:c>
      <x:c r="C65" s="2" t="str">
        <x:v>星途</x:v>
      </x:c>
      <x:c r="D65" s="8" t="n">
        <x:v>4220</x:v>
      </x:c>
      <x:c r="E65" s="8" t="n">
        <x:v>13451</x:v>
      </x:c>
      <x:c r="F65" s="8" t="n">
        <x:f>E65-D65</x:f>
        <x:v>9231</x:v>
      </x:c>
      <x:c r="G65" s="9" t="n">
        <x:f>IF(D65=0,"n.a.",F65/D65)</x:f>
        <x:v>2.187440758293839</x:v>
      </x:c>
      <x:c r="H65" s="9" t="n">
        <x:f>D65/SUMIFS($D$6:$D$449,$A$6:$A$449,A65,$B$6:$B$449,B65)</x:f>
        <x:v>0.0002482232333887777</x:v>
      </x:c>
      <x:c r="I65" s="9" t="n">
        <x:f>E65/SUMIFS($E$6:$E$449,$A$6:$A$449,A65,$B$6:$B$449,B65)</x:f>
        <x:v>0.0007740855650277914</x:v>
      </x:c>
      <x:c r="J65" s="10" t="n">
        <x:f>(I65-H65)*100</x:f>
        <x:v>0.05258623316390137</x:v>
      </x:c>
      <x:c r="K65" s="2" t="n">
        <x:v>75</x:v>
      </x:c>
      <x:c r="L65" s="2" t="n">
        <x:v>60</x:v>
      </x:c>
      <x:c r="M65" s="2" t="n">
        <x:f>IF(OR(K65="",L65=""),"n.a.",K65-L65)</x:f>
        <x:v>15</x:v>
      </x:c>
    </x:row>
    <x:row r="66" ht="22" customHeight="1">
      <x:c r="A66" s="2" t="str">
        <x:v>全样本</x:v>
      </x:c>
      <x:c r="B66" s="2" t="str">
        <x:v>FY2025</x:v>
      </x:c>
      <x:c r="C66" s="2" t="str">
        <x:v>长安欧尚</x:v>
      </x:c>
      <x:c r="D66" s="8" t="n">
        <x:v>20892</x:v>
      </x:c>
      <x:c r="E66" s="8" t="n">
        <x:v>13430</x:v>
      </x:c>
      <x:c r="F66" s="8" t="n">
        <x:f>E66-D66</x:f>
        <x:v>-7462</x:v>
      </x:c>
      <x:c r="G66" s="9" t="n">
        <x:f>IF(D66=0,"n.a.",F66/D66)</x:f>
        <x:v>-0.3571702086923224</x:v>
      </x:c>
      <x:c r="H66" s="9" t="n">
        <x:f>D66/SUMIFS($D$6:$D$449,$A$6:$A$449,A66,$B$6:$B$449,B66)</x:f>
        <x:v>0.001228881467288707</x:v>
      </x:c>
      <x:c r="I66" s="9" t="n">
        <x:f>E66/SUMIFS($E$6:$E$449,$A$6:$A$449,A66,$B$6:$B$449,B66)</x:f>
        <x:v>0.0007728770454481628</x:v>
      </x:c>
      <x:c r="J66" s="10" t="n">
        <x:f>(I66-H66)*100</x:f>
        <x:v>-0.045600442184054436</x:v>
      </x:c>
      <x:c r="K66" s="2" t="n">
        <x:v>53</x:v>
      </x:c>
      <x:c r="L66" s="2" t="n">
        <x:v>61</x:v>
      </x:c>
      <x:c r="M66" s="2" t="n">
        <x:f>IF(OR(K66="",L66=""),"n.a.",K66-L66)</x:f>
        <x:v>-8</x:v>
      </x:c>
    </x:row>
    <x:row r="67" ht="22" customHeight="1">
      <x:c r="A67" s="2" t="str">
        <x:v>全样本</x:v>
      </x:c>
      <x:c r="B67" s="2" t="str">
        <x:v>FY2025</x:v>
      </x:c>
      <x:c r="C67" s="2" t="str">
        <x:v>林肯</x:v>
      </x:c>
      <x:c r="D67" s="8" t="n">
        <x:v>12400</x:v>
      </x:c>
      <x:c r="E67" s="8" t="n">
        <x:v>12584</x:v>
      </x:c>
      <x:c r="F67" s="8" t="n">
        <x:f>E67-D67</x:f>
        <x:v>184</x:v>
      </x:c>
      <x:c r="G67" s="9" t="n">
        <x:f>IF(D67=0,"n.a.",F67/D67)</x:f>
        <x:v>0.014838709677419355</x:v>
      </x:c>
      <x:c r="H67" s="9" t="n">
        <x:f>D67/SUMIFS($D$6:$D$449,$A$6:$A$449,A67,$B$6:$B$449,B67)</x:f>
        <x:v>0.0007293763255973563</x:v>
      </x:c>
      <x:c r="I67" s="9" t="n">
        <x:f>E67/SUMIFS($E$6:$E$449,$A$6:$A$449,A67,$B$6:$B$449,B67)</x:f>
        <x:v>0.0007241909709545556</x:v>
      </x:c>
      <x:c r="J67" s="10" t="n">
        <x:f>(I67-H67)*100</x:f>
        <x:v>-0.0005185354642800693</x:v>
      </x:c>
      <x:c r="K67" s="2" t="n">
        <x:v>63</x:v>
      </x:c>
      <x:c r="L67" s="2" t="n">
        <x:v>62</x:v>
      </x:c>
      <x:c r="M67" s="2" t="n">
        <x:f>IF(OR(K67="",L67=""),"n.a.",K67-L67)</x:f>
        <x:v>1</x:v>
      </x:c>
    </x:row>
    <x:row r="68" ht="22" customHeight="1">
      <x:c r="A68" s="2" t="str">
        <x:v>全样本</x:v>
      </x:c>
      <x:c r="B68" s="2" t="str">
        <x:v>FY2025</x:v>
      </x:c>
      <x:c r="C68" s="2" t="str">
        <x:v>iCAR</x:v>
      </x:c>
      <x:c r="D68" s="8" t="n">
        <x:v>45352</x:v>
      </x:c>
      <x:c r="E68" s="8" t="n">
        <x:v>12142</x:v>
      </x:c>
      <x:c r="F68" s="8" t="n">
        <x:f>E68-D68</x:f>
        <x:v>-33210</x:v>
      </x:c>
      <x:c r="G68" s="9" t="n">
        <x:f>IF(D68=0,"n.a.",F68/D68)</x:f>
        <x:v>-0.7322720056447345</x:v>
      </x:c>
      <x:c r="H68" s="9" t="n">
        <x:f>D68/SUMIFS($D$6:$D$449,$A$6:$A$449,A68,$B$6:$B$449,B68)</x:f>
        <x:v>0.002667635090200911</x:v>
      </x:c>
      <x:c r="I68" s="9" t="n">
        <x:f>E68/SUMIFS($E$6:$E$449,$A$6:$A$449,A68,$B$6:$B$449,B68)</x:f>
        <x:v>0.000698754511230945</x:v>
      </x:c>
      <x:c r="J68" s="10" t="n">
        <x:f>(I68-H68)*100</x:f>
        <x:v>-0.19688805789699662</x:v>
      </x:c>
      <x:c r="K68" s="2" t="n">
        <x:v>38</x:v>
      </x:c>
      <x:c r="L68" s="2" t="n">
        <x:v>63</x:v>
      </x:c>
      <x:c r="M68" s="2" t="n">
        <x:f>IF(OR(K68="",L68=""),"n.a.",K68-L68)</x:f>
        <x:v>-25</x:v>
      </x:c>
    </x:row>
    <x:row r="69" ht="22" customHeight="1">
      <x:c r="A69" s="2" t="str">
        <x:v>全样本</x:v>
      </x:c>
      <x:c r="B69" s="2" t="str">
        <x:v>FY2025</x:v>
      </x:c>
      <x:c r="C69" s="2" t="str">
        <x:v>睿蓝汽车</x:v>
      </x:c>
      <x:c r="D69" s="8" t="n">
        <x:v>5481</x:v>
      </x:c>
      <x:c r="E69" s="8" t="n">
        <x:v>11946</x:v>
      </x:c>
      <x:c r="F69" s="8" t="n">
        <x:f>E69-D69</x:f>
        <x:v>6465</x:v>
      </x:c>
      <x:c r="G69" s="9" t="n">
        <x:f>IF(D69=0,"n.a.",F69/D69)</x:f>
        <x:v>1.1795292829775588</x:v>
      </x:c>
      <x:c r="H69" s="9" t="n">
        <x:f>D69/SUMIFS($D$6:$D$449,$A$6:$A$449,A69,$B$6:$B$449,B69)</x:f>
        <x:v>0.0003223961000483153</x:v>
      </x:c>
      <x:c r="I69" s="9" t="n">
        <x:f>E69/SUMIFS($E$6:$E$449,$A$6:$A$449,A69,$B$6:$B$449,B69)</x:f>
        <x:v>0.000687474995154412</x:v>
      </x:c>
      <x:c r="J69" s="10" t="n">
        <x:f>(I69-H69)*100</x:f>
        <x:v>0.03650788951060967</x:v>
      </x:c>
      <x:c r="K69" s="2" t="n">
        <x:v>71</x:v>
      </x:c>
      <x:c r="L69" s="2" t="n">
        <x:v>64</x:v>
      </x:c>
      <x:c r="M69" s="2" t="n">
        <x:f>IF(OR(K69="",L69=""),"n.a.",K69-L69)</x:f>
        <x:v>7</x:v>
      </x:c>
    </x:row>
    <x:row r="70" ht="22" customHeight="1">
      <x:c r="A70" s="2" t="str">
        <x:v>全样本</x:v>
      </x:c>
      <x:c r="B70" s="2" t="str">
        <x:v>FY2025</x:v>
      </x:c>
      <x:c r="C70" s="2" t="str">
        <x:v>江淮瑞风</x:v>
      </x:c>
      <x:c r="D70" s="8" t="n">
        <x:v>13789</x:v>
      </x:c>
      <x:c r="E70" s="8" t="n">
        <x:v>11436</x:v>
      </x:c>
      <x:c r="F70" s="8" t="n">
        <x:f>E70-D70</x:f>
        <x:v>-2353</x:v>
      </x:c>
      <x:c r="G70" s="9" t="n">
        <x:f>IF(D70=0,"n.a.",F70/D70)</x:f>
        <x:v>-0.1706432663717456</x:v>
      </x:c>
      <x:c r="H70" s="9" t="n">
        <x:f>D70/SUMIFS($D$6:$D$449,$A$6:$A$449,A70,$B$6:$B$449,B70)</x:f>
        <x:v>0.000811078238198544</x:v>
      </x:c>
      <x:c r="I70" s="9" t="n">
        <x:f>E70/SUMIFS($E$6:$E$449,$A$6:$A$449,A70,$B$6:$B$449,B70)</x:f>
        <x:v>0.0006581252339348615</x:v>
      </x:c>
      <x:c r="J70" s="10" t="n">
        <x:f>(I70-H70)*100</x:f>
        <x:v>-0.015295300426368256</x:v>
      </x:c>
      <x:c r="K70" s="2" t="n">
        <x:v>58</x:v>
      </x:c>
      <x:c r="L70" s="2" t="n">
        <x:v>65</x:v>
      </x:c>
      <x:c r="M70" s="2" t="n">
        <x:f>IF(OR(K70="",L70=""),"n.a.",K70-L70)</x:f>
        <x:v>-7</x:v>
      </x:c>
    </x:row>
    <x:row r="71" ht="22" customHeight="1">
      <x:c r="A71" s="2" t="str">
        <x:v>全样本</x:v>
      </x:c>
      <x:c r="B71" s="2" t="str">
        <x:v>FY2025</x:v>
      </x:c>
      <x:c r="C71" s="2" t="str">
        <x:v>长安凯程</x:v>
      </x:c>
      <x:c r="D71" s="8" t="n">
        <x:v>13698</x:v>
      </x:c>
      <x:c r="E71" s="8" t="n">
        <x:v>11142</x:v>
      </x:c>
      <x:c r="F71" s="8" t="n">
        <x:f>E71-D71</x:f>
        <x:v>-2556</x:v>
      </x:c>
      <x:c r="G71" s="9" t="n">
        <x:f>IF(D71=0,"n.a.",F71/D71)</x:f>
        <x:v>-0.18659658344283836</x:v>
      </x:c>
      <x:c r="H71" s="9" t="n">
        <x:f>D71/SUMIFS($D$6:$D$449,$A$6:$A$449,A71,$B$6:$B$449,B71)</x:f>
        <x:v>0.0008057255570994021</x:v>
      </x:c>
      <x:c r="I71" s="9" t="n">
        <x:f>E71/SUMIFS($E$6:$E$449,$A$6:$A$449,A71,$B$6:$B$449,B71)</x:f>
        <x:v>0.0006412059598200618</x:v>
      </x:c>
      <x:c r="J71" s="10" t="n">
        <x:f>(I71-H71)*100</x:f>
        <x:v>-0.016451959727934028</x:v>
      </x:c>
      <x:c r="K71" s="2" t="n">
        <x:v>60</x:v>
      </x:c>
      <x:c r="L71" s="2" t="n">
        <x:v>66</x:v>
      </x:c>
      <x:c r="M71" s="2" t="n">
        <x:f>IF(OR(K71="",L71=""),"n.a.",K71-L71)</x:f>
        <x:v>-6</x:v>
      </x:c>
    </x:row>
    <x:row r="72" ht="22" customHeight="1">
      <x:c r="A72" s="2" t="str">
        <x:v>全样本</x:v>
      </x:c>
      <x:c r="B72" s="2" t="str">
        <x:v>FY2025</x:v>
      </x:c>
      <x:c r="C72" s="2" t="str">
        <x:v>MINI</x:v>
      </x:c>
      <x:c r="D72" s="8" t="n">
        <x:v>0</x:v>
      </x:c>
      <x:c r="E72" s="8" t="n">
        <x:v>11025</x:v>
      </x:c>
      <x:c r="F72" s="8" t="n">
        <x:f>E72-D72</x:f>
        <x:v>11025</x:v>
      </x:c>
      <x:c r="G72" s="9" t="str">
        <x:f>IF(D72=0,"n.a.",F72/D72)</x:f>
        <x:v>n.a.</x:v>
      </x:c>
      <x:c r="H72" s="9" t="n">
        <x:f>D72/SUMIFS($D$6:$D$449,$A$6:$A$449,A72,$B$6:$B$449,B72)</x:f>
        <x:v>0</x:v>
      </x:c>
      <x:c r="I72" s="9" t="n">
        <x:f>E72/SUMIFS($E$6:$E$449,$A$6:$A$449,A72,$B$6:$B$449,B72)</x:f>
        <x:v>0.0006344727793049885</x:v>
      </x:c>
      <x:c r="J72" s="10" t="n">
        <x:f>(I72-H72)*100</x:f>
        <x:v>0.06344727793049884</x:v>
      </x:c>
      <x:c r="K72" s="2"/>
      <x:c r="L72" s="2" t="n">
        <x:v>67</x:v>
      </x:c>
      <x:c r="M72" s="2" t="str">
        <x:f>IF(OR(K72="",L72=""),"n.a.",K72-L72)</x:f>
        <x:v>n.a.</x:v>
      </x:c>
    </x:row>
    <x:row r="73" ht="22" customHeight="1">
      <x:c r="A73" s="2" t="str">
        <x:v>全样本</x:v>
      </x:c>
      <x:c r="B73" s="2" t="str">
        <x:v>FY2025</x:v>
      </x:c>
      <x:c r="C73" s="2" t="str">
        <x:v>奥迪AUDI</x:v>
      </x:c>
      <x:c r="D73" s="8" t="n">
        <x:v>0</x:v>
      </x:c>
      <x:c r="E73" s="8" t="n">
        <x:v>6650</x:v>
      </x:c>
      <x:c r="F73" s="8" t="n">
        <x:f>E73-D73</x:f>
        <x:v>6650</x:v>
      </x:c>
      <x:c r="G73" s="9" t="str">
        <x:f>IF(D73=0,"n.a.",F73/D73)</x:f>
        <x:v>n.a.</x:v>
      </x:c>
      <x:c r="H73" s="9" t="n">
        <x:f>D73/SUMIFS($D$6:$D$449,$A$6:$A$449,A73,$B$6:$B$449,B73)</x:f>
        <x:v>0</x:v>
      </x:c>
      <x:c r="I73" s="9" t="n">
        <x:f>E73/SUMIFS($E$6:$E$449,$A$6:$A$449,A73,$B$6:$B$449,B73)</x:f>
        <x:v>0.000382697866882374</x:v>
      </x:c>
      <x:c r="J73" s="10" t="n">
        <x:f>(I73-H73)*100</x:f>
        <x:v>0.0382697866882374</x:v>
      </x:c>
      <x:c r="K73" s="2"/>
      <x:c r="L73" s="2" t="n">
        <x:v>68</x:v>
      </x:c>
      <x:c r="M73" s="2" t="str">
        <x:f>IF(OR(K73="",L73=""),"n.a.",K73-L73)</x:f>
        <x:v>n.a.</x:v>
      </x:c>
    </x:row>
    <x:row r="74" ht="22" customHeight="1">
      <x:c r="A74" s="2" t="str">
        <x:v>全样本</x:v>
      </x:c>
      <x:c r="B74" s="2" t="str">
        <x:v>FY2025</x:v>
      </x:c>
      <x:c r="C74" s="2" t="str">
        <x:v>凯翼</x:v>
      </x:c>
      <x:c r="D74" s="8" t="n">
        <x:v>9606</x:v>
      </x:c>
      <x:c r="E74" s="8" t="n">
        <x:v>6581</x:v>
      </x:c>
      <x:c r="F74" s="8" t="n">
        <x:f>E74-D74</x:f>
        <x:v>-3025</x:v>
      </x:c>
      <x:c r="G74" s="9" t="n">
        <x:f>IF(D74=0,"n.a.",F74/D74)</x:f>
        <x:v>-0.31490734957318345</x:v>
      </x:c>
      <x:c r="H74" s="9" t="n">
        <x:f>D74/SUMIFS($D$6:$D$449,$A$6:$A$449,A74,$B$6:$B$449,B74)</x:f>
        <x:v>0.0005650313696522745</x:v>
      </x:c>
      <x:c r="I74" s="9" t="n">
        <x:f>E74/SUMIFS($E$6:$E$449,$A$6:$A$449,A74,$B$6:$B$449,B74)</x:f>
        <x:v>0.00037872701683502305</x:v>
      </x:c>
      <x:c r="J74" s="10" t="n">
        <x:f>(I74-H74)*100</x:f>
        <x:v>-0.018630435281725147</x:v>
      </x:c>
      <x:c r="K74" s="2" t="n">
        <x:v>66</x:v>
      </x:c>
      <x:c r="L74" s="2" t="n">
        <x:v>69</x:v>
      </x:c>
      <x:c r="M74" s="2" t="n">
        <x:f>IF(OR(K74="",L74=""),"n.a.",K74-L74)</x:f>
        <x:v>-3</x:v>
      </x:c>
    </x:row>
    <x:row r="75" ht="22" customHeight="1">
      <x:c r="A75" s="2" t="str">
        <x:v>全样本</x:v>
      </x:c>
      <x:c r="B75" s="2" t="str">
        <x:v>FY2025</x:v>
      </x:c>
      <x:c r="C75" s="2" t="str">
        <x:v>凌宝汽车</x:v>
      </x:c>
      <x:c r="D75" s="8" t="n">
        <x:v>8406</x:v>
      </x:c>
      <x:c r="E75" s="8" t="n">
        <x:v>5624</x:v>
      </x:c>
      <x:c r="F75" s="8" t="n">
        <x:f>E75-D75</x:f>
        <x:v>-2782</x:v>
      </x:c>
      <x:c r="G75" s="9" t="n">
        <x:f>IF(D75=0,"n.a.",F75/D75)</x:f>
        <x:v>-0.3309540804187485</x:v>
      </x:c>
      <x:c r="H75" s="9" t="n">
        <x:f>D75/SUMIFS($D$6:$D$449,$A$6:$A$449,A75,$B$6:$B$449,B75)</x:f>
        <x:v>0.0004944465639493046</x:v>
      </x:c>
      <x:c r="I75" s="9" t="n">
        <x:f>E75/SUMIFS($E$6:$E$449,$A$6:$A$449,A75,$B$6:$B$449,B75)</x:f>
        <x:v>0.0003236530531348077</x:v>
      </x:c>
      <x:c r="J75" s="10" t="n">
        <x:f>(I75-H75)*100</x:f>
        <x:v>-0.01707935108144969</x:v>
      </x:c>
      <x:c r="K75" s="2" t="n">
        <x:v>67</x:v>
      </x:c>
      <x:c r="L75" s="2" t="n">
        <x:v>70</x:v>
      </x:c>
      <x:c r="M75" s="2" t="n">
        <x:f>IF(OR(K75="",L75=""),"n.a.",K75-L75)</x:f>
        <x:v>-3</x:v>
      </x:c>
    </x:row>
    <x:row r="76" ht="22" customHeight="1">
      <x:c r="A76" s="2" t="str">
        <x:v>全样本</x:v>
      </x:c>
      <x:c r="B76" s="2" t="str">
        <x:v>FY2025</x:v>
      </x:c>
      <x:c r="C76" s="2" t="str">
        <x:v>江淮钇为</x:v>
      </x:c>
      <x:c r="D76" s="8" t="n">
        <x:v>13728</x:v>
      </x:c>
      <x:c r="E76" s="8" t="n">
        <x:v>5090</x:v>
      </x:c>
      <x:c r="F76" s="8" t="n">
        <x:f>E76-D76</x:f>
        <x:v>-8638</x:v>
      </x:c>
      <x:c r="G76" s="9" t="n">
        <x:f>IF(D76=0,"n.a.",F76/D76)</x:f>
        <x:v>-0.6292249417249417</x:v>
      </x:c>
      <x:c r="H76" s="9" t="n">
        <x:f>D76/SUMIFS($D$6:$D$449,$A$6:$A$449,A76,$B$6:$B$449,B76)</x:f>
        <x:v>0.0008074901772419763</x:v>
      </x:c>
      <x:c r="I76" s="9" t="n">
        <x:f>E76/SUMIFS($E$6:$E$449,$A$6:$A$449,A76,$B$6:$B$449,B76)</x:f>
        <x:v>0.00029292212668139604</x:v>
      </x:c>
      <x:c r="J76" s="10" t="n">
        <x:f>(I76-H76)*100</x:f>
        <x:v>-0.05145680505605802</x:v>
      </x:c>
      <x:c r="K76" s="2" t="n">
        <x:v>59</x:v>
      </x:c>
      <x:c r="L76" s="2" t="n">
        <x:v>71</x:v>
      </x:c>
      <x:c r="M76" s="2" t="n">
        <x:f>IF(OR(K76="",L76=""),"n.a.",K76-L76)</x:f>
        <x:v>-12</x:v>
      </x:c>
    </x:row>
    <x:row r="77" ht="22" customHeight="1">
      <x:c r="A77" s="2" t="str">
        <x:v>全样本</x:v>
      </x:c>
      <x:c r="B77" s="2" t="str">
        <x:v>FY2025</x:v>
      </x:c>
      <x:c r="C77" s="2" t="str">
        <x:v>东风富康</x:v>
      </x:c>
      <x:c r="D77" s="8" t="n">
        <x:v>5039</x:v>
      </x:c>
      <x:c r="E77" s="8" t="n">
        <x:v>4580</x:v>
      </x:c>
      <x:c r="F77" s="8" t="n">
        <x:f>E77-D77</x:f>
        <x:v>-459</x:v>
      </x:c>
      <x:c r="G77" s="9" t="n">
        <x:f>IF(D77=0,"n.a.",F77/D77)</x:f>
        <x:v>-0.0910895018852947</x:v>
      </x:c>
      <x:c r="H77" s="9" t="n">
        <x:f>D77/SUMIFS($D$6:$D$449,$A$6:$A$449,A77,$B$6:$B$449,B77)</x:f>
        <x:v>0.0002963973632810547</x:v>
      </x:c>
      <x:c r="I77" s="9" t="n">
        <x:f>E77/SUMIFS($E$6:$E$449,$A$6:$A$449,A77,$B$6:$B$449,B77)</x:f>
        <x:v>0.0002635723654618455</x:v>
      </x:c>
      <x:c r="J77" s="10" t="n">
        <x:f>(I77-H77)*100</x:f>
        <x:v>-0.0032824997819209186</x:v>
      </x:c>
      <x:c r="K77" s="2" t="n">
        <x:v>74</x:v>
      </x:c>
      <x:c r="L77" s="2" t="n">
        <x:v>72</x:v>
      </x:c>
      <x:c r="M77" s="2" t="n">
        <x:f>IF(OR(K77="",L77=""),"n.a.",K77-L77)</x:f>
        <x:v>2</x:v>
      </x:c>
    </x:row>
    <x:row r="78" ht="22" customHeight="1">
      <x:c r="A78" s="2" t="str">
        <x:v>全样本</x:v>
      </x:c>
      <x:c r="B78" s="2" t="str">
        <x:v>FY2025</x:v>
      </x:c>
      <x:c r="C78" s="2" t="str">
        <x:v>捷途</x:v>
      </x:c>
      <x:c r="D78" s="8" t="n">
        <x:v>12891</x:v>
      </x:c>
      <x:c r="E78" s="8" t="n">
        <x:v>3842</x:v>
      </x:c>
      <x:c r="F78" s="8" t="n">
        <x:f>E78-D78</x:f>
        <x:v>-9049</x:v>
      </x:c>
      <x:c r="G78" s="9" t="n">
        <x:f>IF(D78=0,"n.a.",F78/D78)</x:f>
        <x:v>-0.7019626095725701</x:v>
      </x:c>
      <x:c r="H78" s="9" t="n">
        <x:f>D78/SUMIFS($D$6:$D$449,$A$6:$A$449,A78,$B$6:$B$449,B78)</x:f>
        <x:v>0.0007582572752641548</x:v>
      </x:c>
      <x:c r="I78" s="9" t="n">
        <x:f>E78/SUMIFS($E$6:$E$449,$A$6:$A$449,A78,$B$6:$B$449,B78)</x:f>
        <x:v>0.00022110153452061367</x:v>
      </x:c>
      <x:c r="J78" s="10" t="n">
        <x:f>(I78-H78)*100</x:f>
        <x:v>-0.053715574074354115</x:v>
      </x:c>
      <x:c r="K78" s="2" t="n">
        <x:v>62</x:v>
      </x:c>
      <x:c r="L78" s="2" t="n">
        <x:v>73</x:v>
      </x:c>
      <x:c r="M78" s="2" t="n">
        <x:f>IF(OR(K78="",L78=""),"n.a.",K78-L78)</x:f>
        <x:v>-11</x:v>
      </x:c>
    </x:row>
    <x:row r="79" ht="22" customHeight="1">
      <x:c r="A79" s="2" t="str">
        <x:v>全样本</x:v>
      </x:c>
      <x:c r="B79" s="2" t="str">
        <x:v>FY2025</x:v>
      </x:c>
      <x:c r="C79" s="2" t="str">
        <x:v>灵悉</x:v>
      </x:c>
      <x:c r="D79" s="8" t="n">
        <x:v>413</x:v>
      </x:c>
      <x:c r="E79" s="8" t="n">
        <x:v>3633</x:v>
      </x:c>
      <x:c r="F79" s="8" t="n">
        <x:f>E79-D79</x:f>
        <x:v>3220</x:v>
      </x:c>
      <x:c r="G79" s="9" t="n">
        <x:f>IF(D79=0,"n.a.",F79/D79)</x:f>
        <x:v>7.796610169491525</x:v>
      </x:c>
      <x:c r="H79" s="9" t="n">
        <x:f>D79/SUMIFS($D$6:$D$449,$A$6:$A$449,A79,$B$6:$B$449,B79)</x:f>
        <x:v>0.000024292937296105493</x:v>
      </x:c>
      <x:c r="I79" s="9" t="n">
        <x:f>E79/SUMIFS($E$6:$E$449,$A$6:$A$449,A79,$B$6:$B$449,B79)</x:f>
        <x:v>0.00020907388727573904</x:v>
      </x:c>
      <x:c r="J79" s="10" t="n">
        <x:f>(I79-H79)*100</x:f>
        <x:v>0.018478094997963355</x:v>
      </x:c>
      <x:c r="K79" s="2" t="n">
        <x:v>82</x:v>
      </x:c>
      <x:c r="L79" s="2" t="n">
        <x:v>74</x:v>
      </x:c>
      <x:c r="M79" s="2" t="n">
        <x:f>IF(OR(K79="",L79=""),"n.a.",K79-L79)</x:f>
        <x:v>8</x:v>
      </x:c>
    </x:row>
    <x:row r="80" ht="22" customHeight="1">
      <x:c r="A80" s="2" t="str">
        <x:v>全样本</x:v>
      </x:c>
      <x:c r="B80" s="2" t="str">
        <x:v>FY2025</x:v>
      </x:c>
      <x:c r="C80" s="2" t="str">
        <x:v>启辰</x:v>
      </x:c>
      <x:c r="D80" s="8" t="n">
        <x:v>11321</x:v>
      </x:c>
      <x:c r="E80" s="8" t="n">
        <x:v>3212</x:v>
      </x:c>
      <x:c r="F80" s="8" t="n">
        <x:f>E80-D80</x:f>
        <x:v>-8109</x:v>
      </x:c>
      <x:c r="G80" s="9" t="n">
        <x:f>IF(D80=0,"n.a.",F80/D80)</x:f>
        <x:v>-0.7162794806112535</x:v>
      </x:c>
      <x:c r="H80" s="9" t="n">
        <x:f>D80/SUMIFS($D$6:$D$449,$A$6:$A$449,A80,$B$6:$B$449,B80)</x:f>
        <x:v>0.0006659088211361025</x:v>
      </x:c>
      <x:c r="I80" s="9" t="n">
        <x:f>E80/SUMIFS($E$6:$E$449,$A$6:$A$449,A80,$B$6:$B$449,B80)</x:f>
        <x:v>0.0001848459471317572</x:v>
      </x:c>
      <x:c r="J80" s="10" t="n">
        <x:f>(I80-H80)*100</x:f>
        <x:v>-0.04810628740043453</x:v>
      </x:c>
      <x:c r="K80" s="2" t="n">
        <x:v>64</x:v>
      </x:c>
      <x:c r="L80" s="2" t="n">
        <x:v>75</x:v>
      </x:c>
      <x:c r="M80" s="2" t="n">
        <x:f>IF(OR(K80="",L80=""),"n.a.",K80-L80)</x:f>
        <x:v>-11</x:v>
      </x:c>
    </x:row>
    <x:row r="81" ht="22" customHeight="1">
      <x:c r="A81" s="2" t="str">
        <x:v>全样本</x:v>
      </x:c>
      <x:c r="B81" s="2" t="str">
        <x:v>FY2025</x:v>
      </x:c>
      <x:c r="C81" s="2" t="str">
        <x:v>宝骏</x:v>
      </x:c>
      <x:c r="D81" s="8" t="n">
        <x:v>3362</x:v>
      </x:c>
      <x:c r="E81" s="8" t="n">
        <x:v>2646</x:v>
      </x:c>
      <x:c r="F81" s="8" t="n">
        <x:f>E81-D81</x:f>
        <x:v>-716</x:v>
      </x:c>
      <x:c r="G81" s="9" t="n">
        <x:f>IF(D81=0,"n.a.",F81/D81)</x:f>
        <x:v>-0.21296847114812612</x:v>
      </x:c>
      <x:c r="H81" s="9" t="n">
        <x:f>D81/SUMIFS($D$6:$D$449,$A$6:$A$449,A81,$B$6:$B$449,B81)</x:f>
        <x:v>0.00019775509731115418</x:v>
      </x:c>
      <x:c r="I81" s="9" t="n">
        <x:f>E81/SUMIFS($E$6:$E$449,$A$6:$A$449,A81,$B$6:$B$449,B81)</x:f>
        <x:v>0.00015227346703319721</x:v>
      </x:c>
      <x:c r="J81" s="10" t="n">
        <x:f>(I81-H81)*100</x:f>
        <x:v>-0.004548163027795696</x:v>
      </x:c>
      <x:c r="K81" s="2" t="n">
        <x:v>76</x:v>
      </x:c>
      <x:c r="L81" s="2" t="n">
        <x:v>76</x:v>
      </x:c>
      <x:c r="M81" s="2" t="n">
        <x:f>IF(OR(K81="",L81=""),"n.a.",K81-L81)</x:f>
        <x:v>0</x:v>
      </x:c>
    </x:row>
    <x:row r="82" ht="22" customHeight="1">
      <x:c r="A82" s="2" t="str">
        <x:v>全样本</x:v>
      </x:c>
      <x:c r="B82" s="2" t="str">
        <x:v>FY2025</x:v>
      </x:c>
      <x:c r="C82" s="2" t="str">
        <x:v>飞凡汽车</x:v>
      </x:c>
      <x:c r="D82" s="8" t="n">
        <x:v>2921</x:v>
      </x:c>
      <x:c r="E82" s="8" t="n">
        <x:v>2494</x:v>
      </x:c>
      <x:c r="F82" s="8" t="n">
        <x:f>E82-D82</x:f>
        <x:v>-427</x:v>
      </x:c>
      <x:c r="G82" s="9" t="n">
        <x:f>IF(D82=0,"n.a.",F82/D82)</x:f>
        <x:v>-0.14618281410475864</x:v>
      </x:c>
      <x:c r="H82" s="9" t="n">
        <x:f>D82/SUMIFS($D$6:$D$449,$A$6:$A$449,A82,$B$6:$B$449,B82)</x:f>
        <x:v>0.00017181518121531271</x:v>
      </x:c>
      <x:c r="I82" s="9" t="n">
        <x:f>E82/SUMIFS($E$6:$E$449,$A$6:$A$449,A82,$B$6:$B$449,B82)</x:f>
        <x:v>0.00014352608721874296</x:v>
      </x:c>
      <x:c r="J82" s="10" t="n">
        <x:f>(I82-H82)*100</x:f>
        <x:v>-0.002828909399656975</x:v>
      </x:c>
      <x:c r="K82" s="2" t="n">
        <x:v>77</x:v>
      </x:c>
      <x:c r="L82" s="2" t="n">
        <x:v>77</x:v>
      </x:c>
      <x:c r="M82" s="2" t="n">
        <x:f>IF(OR(K82="",L82=""),"n.a.",K82-L82)</x:f>
        <x:v>0</x:v>
      </x:c>
    </x:row>
    <x:row r="83" ht="22" customHeight="1">
      <x:c r="A83" s="2" t="str">
        <x:v>全样本</x:v>
      </x:c>
      <x:c r="B83" s="2" t="str">
        <x:v>FY2025</x:v>
      </x:c>
      <x:c r="C83" s="2" t="str">
        <x:v>东风风光</x:v>
      </x:c>
      <x:c r="D83" s="8" t="n">
        <x:v>5427</x:v>
      </x:c>
      <x:c r="E83" s="8" t="n">
        <x:v>2087</x:v>
      </x:c>
      <x:c r="F83" s="8" t="n">
        <x:f>E83-D83</x:f>
        <x:v>-3340</x:v>
      </x:c>
      <x:c r="G83" s="9" t="n">
        <x:f>IF(D83=0,"n.a.",F83/D83)</x:f>
        <x:v>-0.6154413119587249</x:v>
      </x:c>
      <x:c r="H83" s="9" t="n">
        <x:f>D83/SUMIFS($D$6:$D$449,$A$6:$A$449,A83,$B$6:$B$449,B83)</x:f>
        <x:v>0.00031921978379168166</x:v>
      </x:c>
      <x:c r="I83" s="9" t="n">
        <x:f>E83/SUMIFS($E$6:$E$449,$A$6:$A$449,A83,$B$6:$B$449,B83)</x:f>
        <x:v>0.00012010382679451345</x:v>
      </x:c>
      <x:c r="J83" s="10" t="n">
        <x:f>(I83-H83)*100</x:f>
        <x:v>-0.01991159569971682</x:v>
      </x:c>
      <x:c r="K83" s="2" t="n">
        <x:v>73</x:v>
      </x:c>
      <x:c r="L83" s="2" t="n">
        <x:v>78</x:v>
      </x:c>
      <x:c r="M83" s="2" t="n">
        <x:f>IF(OR(K83="",L83=""),"n.a.",K83-L83)</x:f>
        <x:v>-5</x:v>
      </x:c>
    </x:row>
    <x:row r="84" ht="22" customHeight="1">
      <x:c r="A84" s="2" t="str">
        <x:v>全样本</x:v>
      </x:c>
      <x:c r="B84" s="2" t="str">
        <x:v>FY2025</x:v>
      </x:c>
      <x:c r="C84" s="2" t="str">
        <x:v>雪佛兰</x:v>
      </x:c>
      <x:c r="D84" s="8" t="n">
        <x:v>5437</x:v>
      </x:c>
      <x:c r="E84" s="8" t="n">
        <x:v>2039</x:v>
      </x:c>
      <x:c r="F84" s="8" t="n">
        <x:f>E84-D84</x:f>
        <x:v>-3398</x:v>
      </x:c>
      <x:c r="G84" s="9" t="n">
        <x:f>IF(D84=0,"n.a.",F84/D84)</x:f>
        <x:v>-0.6249770093801729</x:v>
      </x:c>
      <x:c r="H84" s="9" t="n">
        <x:f>D84/SUMIFS($D$6:$D$449,$A$6:$A$449,A84,$B$6:$B$449,B84)</x:f>
        <x:v>0.0003198079905058731</x:v>
      </x:c>
      <x:c r="I84" s="9" t="n">
        <x:f>E84/SUMIFS($E$6:$E$449,$A$6:$A$449,A84,$B$6:$B$449,B84)</x:f>
        <x:v>0.00011734149632679105</x:v>
      </x:c>
      <x:c r="J84" s="10" t="n">
        <x:f>(I84-H84)*100</x:f>
        <x:v>-0.020246649417908203</x:v>
      </x:c>
      <x:c r="K84" s="2" t="n">
        <x:v>72</x:v>
      </x:c>
      <x:c r="L84" s="2" t="n">
        <x:v>79</x:v>
      </x:c>
      <x:c r="M84" s="2" t="n">
        <x:f>IF(OR(K84="",L84=""),"n.a.",K84-L84)</x:f>
        <x:v>-7</x:v>
      </x:c>
    </x:row>
    <x:row r="85" ht="22" customHeight="1">
      <x:c r="A85" s="2" t="str">
        <x:v>全样本</x:v>
      </x:c>
      <x:c r="B85" s="2" t="str">
        <x:v>FY2025</x:v>
      </x:c>
      <x:c r="C85" s="2" t="str">
        <x:v>昊铂</x:v>
      </x:c>
      <x:c r="D85" s="8" t="n">
        <x:v>6689</x:v>
      </x:c>
      <x:c r="E85" s="8" t="n">
        <x:v>1816</x:v>
      </x:c>
      <x:c r="F85" s="8" t="n">
        <x:f>E85-D85</x:f>
        <x:v>-4873</x:v>
      </x:c>
      <x:c r="G85" s="9" t="n">
        <x:f>IF(D85=0,"n.a.",F85/D85)</x:f>
        <x:v>-0.7285094931977875</x:v>
      </x:c>
      <x:c r="H85" s="9" t="n">
        <x:f>D85/SUMIFS($D$6:$D$449,$A$6:$A$449,A85,$B$6:$B$449,B85)</x:f>
        <x:v>0.0003934514711226384</x:v>
      </x:c>
      <x:c r="I85" s="9" t="n">
        <x:f>E85/SUMIFS($E$6:$E$449,$A$6:$A$449,A85,$B$6:$B$449,B85)</x:f>
        <x:v>0.00010450816936216409</x:v>
      </x:c>
      <x:c r="J85" s="10" t="n">
        <x:f>(I85-H85)*100</x:f>
        <x:v>-0.02889433017604743</x:v>
      </x:c>
      <x:c r="K85" s="2" t="n">
        <x:v>69</x:v>
      </x:c>
      <x:c r="L85" s="2" t="n">
        <x:v>80</x:v>
      </x:c>
      <x:c r="M85" s="2" t="n">
        <x:f>IF(OR(K85="",L85=""),"n.a.",K85-L85)</x:f>
        <x:v>-11</x:v>
      </x:c>
    </x:row>
    <x:row r="86" ht="22" customHeight="1">
      <x:c r="A86" s="2" t="str">
        <x:v>全样本</x:v>
      </x:c>
      <x:c r="B86" s="2" t="str">
        <x:v>FY2025</x:v>
      </x:c>
      <x:c r="C86" s="2" t="str">
        <x:v>海马郑州</x:v>
      </x:c>
      <x:c r="D86" s="8" t="n">
        <x:v>2002</x:v>
      </x:c>
      <x:c r="E86" s="8" t="n">
        <x:v>1487</x:v>
      </x:c>
      <x:c r="F86" s="8" t="n">
        <x:f>E86-D86</x:f>
        <x:v>-515</x:v>
      </x:c>
      <x:c r="G86" s="9" t="n">
        <x:f>IF(D86=0,"n.a.",F86/D86)</x:f>
        <x:v>-0.25724275724275725</x:v>
      </x:c>
      <x:c r="H86" s="9" t="n">
        <x:f>D86/SUMIFS($D$6:$D$449,$A$6:$A$449,A86,$B$6:$B$449,B86)</x:f>
        <x:v>0.00011775898418112155</x:v>
      </x:c>
      <x:c r="I86" s="9" t="n">
        <x:f>E86/SUMIFS($E$6:$E$449,$A$6:$A$449,A86,$B$6:$B$449,B86)</x:f>
        <x:v>0.00008557469594798348</x:v>
      </x:c>
      <x:c r="J86" s="10" t="n">
        <x:f>(I86-H86)*100</x:f>
        <x:v>-0.003218428823313807</x:v>
      </x:c>
      <x:c r="K86" s="2" t="n">
        <x:v>80</x:v>
      </x:c>
      <x:c r="L86" s="2" t="n">
        <x:v>81</x:v>
      </x:c>
      <x:c r="M86" s="2" t="n">
        <x:f>IF(OR(K86="",L86=""),"n.a.",K86-L86)</x:f>
        <x:v>-1</x:v>
      </x:c>
    </x:row>
    <x:row r="87" ht="22" customHeight="1">
      <x:c r="A87" s="2" t="str">
        <x:v>全样本</x:v>
      </x:c>
      <x:c r="B87" s="2" t="str">
        <x:v>FY2025</x:v>
      </x:c>
      <x:c r="C87" s="2" t="str">
        <x:v>江淮</x:v>
      </x:c>
      <x:c r="D87" s="8" t="n">
        <x:v>2130</x:v>
      </x:c>
      <x:c r="E87" s="8" t="n">
        <x:v>732</x:v>
      </x:c>
      <x:c r="F87" s="8" t="n">
        <x:f>E87-D87</x:f>
        <x:v>-1398</x:v>
      </x:c>
      <x:c r="G87" s="9" t="n">
        <x:f>IF(D87=0,"n.a.",F87/D87)</x:f>
        <x:v>-0.6563380281690141</x:v>
      </x:c>
      <x:c r="H87" s="9" t="n">
        <x:f>D87/SUMIFS($D$6:$D$449,$A$6:$A$449,A87,$B$6:$B$449,B87)</x:f>
        <x:v>0.0001252880301227717</x:v>
      </x:c>
      <x:c r="I87" s="9" t="n">
        <x:f>E87/SUMIFS($E$6:$E$449,$A$6:$A$449,A87,$B$6:$B$449,B87)</x:f>
        <x:v>0.00004212553963276658</x:v>
      </x:c>
      <x:c r="J87" s="10" t="n">
        <x:f>(I87-H87)*100</x:f>
        <x:v>-0.008316249049000511</x:v>
      </x:c>
      <x:c r="K87" s="2" t="n">
        <x:v>79</x:v>
      </x:c>
      <x:c r="L87" s="2" t="n">
        <x:v>82</x:v>
      </x:c>
      <x:c r="M87" s="2" t="n">
        <x:f>IF(OR(K87="",L87=""),"n.a.",K87-L87)</x:f>
        <x:v>-3</x:v>
      </x:c>
    </x:row>
    <x:row r="88" ht="22" customHeight="1">
      <x:c r="A88" s="2" t="str">
        <x:v>全样本</x:v>
      </x:c>
      <x:c r="B88" s="2" t="str">
        <x:v>FY2025</x:v>
      </x:c>
      <x:c r="C88" s="2" t="str">
        <x:v>合创汽车</x:v>
      </x:c>
      <x:c r="D88" s="8" t="n">
        <x:v>2273</x:v>
      </x:c>
      <x:c r="E88" s="8" t="n">
        <x:v>201</x:v>
      </x:c>
      <x:c r="F88" s="8" t="n">
        <x:f>E88-D88</x:f>
        <x:v>-2072</x:v>
      </x:c>
      <x:c r="G88" s="9" t="n">
        <x:f>IF(D88=0,"n.a.",F88/D88)</x:f>
        <x:v>-0.9115706115266168</x:v>
      </x:c>
      <x:c r="H88" s="9" t="n">
        <x:f>D88/SUMIFS($D$6:$D$449,$A$6:$A$449,A88,$B$6:$B$449,B88)</x:f>
        <x:v>0.00013369938613570895</x:v>
      </x:c>
      <x:c r="I88" s="9" t="n">
        <x:f>E88/SUMIFS($E$6:$E$449,$A$6:$A$449,A88,$B$6:$B$449,B88)</x:f>
        <x:v>0.000011567258833587545</x:v>
      </x:c>
      <x:c r="J88" s="10" t="n">
        <x:f>(I88-H88)*100</x:f>
        <x:v>-0.01221321273021214</x:v>
      </x:c>
      <x:c r="K88" s="2" t="n">
        <x:v>78</x:v>
      </x:c>
      <x:c r="L88" s="2" t="n">
        <x:v>83</x:v>
      </x:c>
      <x:c r="M88" s="2" t="n">
        <x:f>IF(OR(K88="",L88=""),"n.a.",K88-L88)</x:f>
        <x:v>-5</x:v>
      </x:c>
    </x:row>
    <x:row r="89" ht="22" customHeight="1">
      <x:c r="A89" s="2" t="str">
        <x:v>全样本</x:v>
      </x:c>
      <x:c r="B89" s="2" t="str">
        <x:v>FY2025</x:v>
      </x:c>
      <x:c r="C89" s="2" t="str">
        <x:v>Polestar极星</x:v>
      </x:c>
      <x:c r="D89" s="8" t="n">
        <x:v>0</x:v>
      </x:c>
      <x:c r="E89" s="8" t="n">
        <x:v>84</x:v>
      </x:c>
      <x:c r="F89" s="8" t="n">
        <x:f>E89-D89</x:f>
        <x:v>84</x:v>
      </x:c>
      <x:c r="G89" s="9" t="str">
        <x:f>IF(D89=0,"n.a.",F89/D89)</x:f>
        <x:v>n.a.</x:v>
      </x:c>
      <x:c r="H89" s="9" t="n">
        <x:f>D89/SUMIFS($D$6:$D$449,$A$6:$A$449,A89,$B$6:$B$449,B89)</x:f>
        <x:v>0</x:v>
      </x:c>
      <x:c r="I89" s="9" t="n">
        <x:f>E89/SUMIFS($E$6:$E$449,$A$6:$A$449,A89,$B$6:$B$449,B89)</x:f>
        <x:v>0.000004834078318514198</x:v>
      </x:c>
      <x:c r="J89" s="10" t="n">
        <x:f>(I89-H89)*100</x:f>
        <x:v>0.00048340783185141977</x:v>
      </x:c>
      <x:c r="K89" s="2"/>
      <x:c r="L89" s="2" t="n">
        <x:v>84</x:v>
      </x:c>
      <x:c r="M89" s="2" t="str">
        <x:f>IF(OR(K89="",L89=""),"n.a.",K89-L89)</x:f>
        <x:v>n.a.</x:v>
      </x:c>
    </x:row>
    <x:row r="90" ht="22" customHeight="1">
      <x:c r="A90" s="2" t="str">
        <x:v>全样本</x:v>
      </x:c>
      <x:c r="B90" s="2" t="str">
        <x:v>FY2025</x:v>
      </x:c>
      <x:c r="C90" s="2" t="str">
        <x:v>海马</x:v>
      </x:c>
      <x:c r="D90" s="8" t="n">
        <x:v>44</x:v>
      </x:c>
      <x:c r="E90" s="8" t="n">
        <x:v>71</x:v>
      </x:c>
      <x:c r="F90" s="8" t="n">
        <x:f>E90-D90</x:f>
        <x:v>27</x:v>
      </x:c>
      <x:c r="G90" s="9" t="n">
        <x:f>IF(D90=0,"n.a.",F90/D90)</x:f>
        <x:v>0.6136363636363636</x:v>
      </x:c>
      <x:c r="H90" s="9" t="n">
        <x:f>D90/SUMIFS($D$6:$D$449,$A$6:$A$449,A90,$B$6:$B$449,B90)</x:f>
        <x:v>0.000002588109542442232</x:v>
      </x:c>
      <x:c r="I90" s="9" t="n">
        <x:f>E90/SUMIFS($E$6:$E$449,$A$6:$A$449,A90,$B$6:$B$449,B90)</x:f>
        <x:v>0.0000040859471501727145</x:v>
      </x:c>
      <x:c r="J90" s="10" t="n">
        <x:f>(I90-H90)*100</x:f>
        <x:v>0.00014978376077304825</x:v>
      </x:c>
      <x:c r="K90" s="2" t="n">
        <x:v>83</x:v>
      </x:c>
      <x:c r="L90" s="2" t="n">
        <x:v>85</x:v>
      </x:c>
      <x:c r="M90" s="2" t="n">
        <x:f>IF(OR(K90="",L90=""),"n.a.",K90-L90)</x:f>
        <x:v>-2</x:v>
      </x:c>
    </x:row>
    <x:row r="91" ht="22" customHeight="1">
      <x:c r="A91" s="2" t="str">
        <x:v>全样本</x:v>
      </x:c>
      <x:c r="B91" s="2" t="str">
        <x:v>FY2025</x:v>
      </x:c>
      <x:c r="C91" s="2" t="str">
        <x:v>猛士</x:v>
      </x:c>
      <x:c r="D91" s="8" t="n">
        <x:v>0</x:v>
      </x:c>
      <x:c r="E91" s="8" t="n">
        <x:v>57</x:v>
      </x:c>
      <x:c r="F91" s="8" t="n">
        <x:f>E91-D91</x:f>
        <x:v>57</x:v>
      </x:c>
      <x:c r="G91" s="9" t="str">
        <x:f>IF(D91=0,"n.a.",F91/D91)</x:f>
        <x:v>n.a.</x:v>
      </x:c>
      <x:c r="H91" s="9" t="n">
        <x:f>D91/SUMIFS($D$6:$D$449,$A$6:$A$449,A91,$B$6:$B$449,B91)</x:f>
        <x:v>0</x:v>
      </x:c>
      <x:c r="I91" s="9" t="n">
        <x:f>E91/SUMIFS($E$6:$E$449,$A$6:$A$449,A91,$B$6:$B$449,B91)</x:f>
        <x:v>0.0000032802674304203485</x:v>
      </x:c>
      <x:c r="J91" s="10" t="n">
        <x:f>(I91-H91)*100</x:f>
        <x:v>0.00032802674304203484</x:v>
      </x:c>
      <x:c r="K91" s="2"/>
      <x:c r="L91" s="2" t="n">
        <x:v>86</x:v>
      </x:c>
      <x:c r="M91" s="2" t="str">
        <x:f>IF(OR(K91="",L91=""),"n.a.",K91-L91)</x:f>
        <x:v>n.a.</x:v>
      </x:c>
    </x:row>
    <x:row r="92" ht="22" customHeight="1">
      <x:c r="A92" s="2" t="str">
        <x:v>全样本</x:v>
      </x:c>
      <x:c r="B92" s="2" t="str">
        <x:v>FY2025</x:v>
      </x:c>
      <x:c r="C92" s="2" t="str">
        <x:v>DS</x:v>
      </x:c>
      <x:c r="D92" s="8" t="n">
        <x:v>0</x:v>
      </x:c>
      <x:c r="E92" s="8" t="n">
        <x:v>0</x:v>
      </x:c>
      <x:c r="F92" s="8" t="n">
        <x:f>E92-D92</x:f>
        <x:v>0</x:v>
      </x:c>
      <x:c r="G92" s="9" t="str">
        <x:f>IF(D92=0,"n.a.",F92/D92)</x:f>
        <x:v>n.a.</x:v>
      </x:c>
      <x:c r="H92" s="9" t="n">
        <x:f>D92/SUMIFS($D$6:$D$449,$A$6:$A$449,A92,$B$6:$B$449,B92)</x:f>
        <x:v>0</x:v>
      </x:c>
      <x:c r="I92" s="9" t="n">
        <x:f>E92/SUMIFS($E$6:$E$449,$A$6:$A$449,A92,$B$6:$B$449,B92)</x:f>
        <x:v>0</x:v>
      </x:c>
      <x:c r="J92" s="10" t="n">
        <x:f>(I92-H92)*100</x:f>
        <x:v>0</x:v>
      </x:c>
      <x:c r="K92" s="2"/>
      <x:c r="L92" s="2"/>
      <x:c r="M92" s="2" t="str">
        <x:f>IF(OR(K92="",L92=""),"n.a.",K92-L92)</x:f>
        <x:v>n.a.</x:v>
      </x:c>
    </x:row>
    <x:row r="93" ht="22" customHeight="1">
      <x:c r="A93" s="2" t="str">
        <x:v>全样本</x:v>
      </x:c>
      <x:c r="B93" s="2" t="str">
        <x:v>FY2025</x:v>
      </x:c>
      <x:c r="C93" s="2" t="str">
        <x:v>东风风度</x:v>
      </x:c>
      <x:c r="D93" s="8" t="n">
        <x:v>0</x:v>
      </x:c>
      <x:c r="E93" s="8" t="n">
        <x:v>0</x:v>
      </x:c>
      <x:c r="F93" s="8" t="n">
        <x:f>E93-D93</x:f>
        <x:v>0</x:v>
      </x:c>
      <x:c r="G93" s="9" t="str">
        <x:f>IF(D93=0,"n.a.",F93/D93)</x:f>
        <x:v>n.a.</x:v>
      </x:c>
      <x:c r="H93" s="9" t="n">
        <x:f>D93/SUMIFS($D$6:$D$449,$A$6:$A$449,A93,$B$6:$B$449,B93)</x:f>
        <x:v>0</x:v>
      </x:c>
      <x:c r="I93" s="9" t="n">
        <x:f>E93/SUMIFS($E$6:$E$449,$A$6:$A$449,A93,$B$6:$B$449,B93)</x:f>
        <x:v>0</x:v>
      </x:c>
      <x:c r="J93" s="10" t="n">
        <x:f>(I93-H93)*100</x:f>
        <x:v>0</x:v>
      </x:c>
      <x:c r="K93" s="2"/>
      <x:c r="L93" s="2"/>
      <x:c r="M93" s="2" t="str">
        <x:f>IF(OR(K93="",L93=""),"n.a.",K93-L93)</x:f>
        <x:v>n.a.</x:v>
      </x:c>
    </x:row>
    <x:row r="94" ht="22" customHeight="1">
      <x:c r="A94" s="2" t="str">
        <x:v>全样本</x:v>
      </x:c>
      <x:c r="B94" s="2" t="str">
        <x:v>FY2025</x:v>
      </x:c>
      <x:c r="C94" s="2" t="str">
        <x:v>中华</x:v>
      </x:c>
      <x:c r="D94" s="8" t="n">
        <x:v>0</x:v>
      </x:c>
      <x:c r="E94" s="8" t="n">
        <x:v>0</x:v>
      </x:c>
      <x:c r="F94" s="8" t="n">
        <x:f>E94-D94</x:f>
        <x:v>0</x:v>
      </x:c>
      <x:c r="G94" s="9" t="str">
        <x:f>IF(D94=0,"n.a.",F94/D94)</x:f>
        <x:v>n.a.</x:v>
      </x:c>
      <x:c r="H94" s="9" t="n">
        <x:f>D94/SUMIFS($D$6:$D$449,$A$6:$A$449,A94,$B$6:$B$449,B94)</x:f>
        <x:v>0</x:v>
      </x:c>
      <x:c r="I94" s="9" t="n">
        <x:f>E94/SUMIFS($E$6:$E$449,$A$6:$A$449,A94,$B$6:$B$449,B94)</x:f>
        <x:v>0</x:v>
      </x:c>
      <x:c r="J94" s="10" t="n">
        <x:f>(I94-H94)*100</x:f>
        <x:v>0</x:v>
      </x:c>
      <x:c r="K94" s="2"/>
      <x:c r="L94" s="2"/>
      <x:c r="M94" s="2" t="str">
        <x:f>IF(OR(K94="",L94=""),"n.a.",K94-L94)</x:f>
        <x:v>n.a.</x:v>
      </x:c>
    </x:row>
    <x:row r="95" ht="22" customHeight="1">
      <x:c r="A95" s="2" t="str">
        <x:v>全样本</x:v>
      </x:c>
      <x:c r="B95" s="2" t="str">
        <x:v>FY2025</x:v>
      </x:c>
      <x:c r="C95" s="2" t="str">
        <x:v>LITE</x:v>
      </x:c>
      <x:c r="D95" s="8" t="n">
        <x:v>0</x:v>
      </x:c>
      <x:c r="E95" s="8" t="n">
        <x:v>0</x:v>
      </x:c>
      <x:c r="F95" s="8" t="n">
        <x:f>E95-D95</x:f>
        <x:v>0</x:v>
      </x:c>
      <x:c r="G95" s="9" t="str">
        <x:f>IF(D95=0,"n.a.",F95/D95)</x:f>
        <x:v>n.a.</x:v>
      </x:c>
      <x:c r="H95" s="9" t="n">
        <x:f>D95/SUMIFS($D$6:$D$449,$A$6:$A$449,A95,$B$6:$B$449,B95)</x:f>
        <x:v>0</x:v>
      </x:c>
      <x:c r="I95" s="9" t="n">
        <x:f>E95/SUMIFS($E$6:$E$449,$A$6:$A$449,A95,$B$6:$B$449,B95)</x:f>
        <x:v>0</x:v>
      </x:c>
      <x:c r="J95" s="10" t="n">
        <x:f>(I95-H95)*100</x:f>
        <x:v>0</x:v>
      </x:c>
      <x:c r="K95" s="2"/>
      <x:c r="L95" s="2"/>
      <x:c r="M95" s="2" t="str">
        <x:f>IF(OR(K95="",L95=""),"n.a.",K95-L95)</x:f>
        <x:v>n.a.</x:v>
      </x:c>
    </x:row>
    <x:row r="96" ht="22" customHeight="1">
      <x:c r="A96" s="2" t="str">
        <x:v>全样本</x:v>
      </x:c>
      <x:c r="B96" s="2" t="str">
        <x:v>FY2025</x:v>
      </x:c>
      <x:c r="C96" s="2" t="str">
        <x:v>SWM斯威汽车</x:v>
      </x:c>
      <x:c r="D96" s="8" t="n">
        <x:v>0</x:v>
      </x:c>
      <x:c r="E96" s="8" t="n">
        <x:v>0</x:v>
      </x:c>
      <x:c r="F96" s="8" t="n">
        <x:f>E96-D96</x:f>
        <x:v>0</x:v>
      </x:c>
      <x:c r="G96" s="9" t="str">
        <x:f>IF(D96=0,"n.a.",F96/D96)</x:f>
        <x:v>n.a.</x:v>
      </x:c>
      <x:c r="H96" s="9" t="n">
        <x:f>D96/SUMIFS($D$6:$D$449,$A$6:$A$449,A96,$B$6:$B$449,B96)</x:f>
        <x:v>0</x:v>
      </x:c>
      <x:c r="I96" s="9" t="n">
        <x:f>E96/SUMIFS($E$6:$E$449,$A$6:$A$449,A96,$B$6:$B$449,B96)</x:f>
        <x:v>0</x:v>
      </x:c>
      <x:c r="J96" s="10" t="n">
        <x:f>(I96-H96)*100</x:f>
        <x:v>0</x:v>
      </x:c>
      <x:c r="K96" s="2"/>
      <x:c r="L96" s="2"/>
      <x:c r="M96" s="2" t="str">
        <x:f>IF(OR(K96="",L96=""),"n.a.",K96-L96)</x:f>
        <x:v>n.a.</x:v>
      </x:c>
    </x:row>
    <x:row r="97" ht="22" customHeight="1">
      <x:c r="A97" s="2" t="str">
        <x:v>全样本</x:v>
      </x:c>
      <x:c r="B97" s="2" t="str">
        <x:v>FY2025</x:v>
      </x:c>
      <x:c r="C97" s="2" t="str">
        <x:v>Jeep</x:v>
      </x:c>
      <x:c r="D97" s="8" t="n">
        <x:v>0</x:v>
      </x:c>
      <x:c r="E97" s="8" t="n">
        <x:v>0</x:v>
      </x:c>
      <x:c r="F97" s="8" t="n">
        <x:f>E97-D97</x:f>
        <x:v>0</x:v>
      </x:c>
      <x:c r="G97" s="9" t="str">
        <x:f>IF(D97=0,"n.a.",F97/D97)</x:f>
        <x:v>n.a.</x:v>
      </x:c>
      <x:c r="H97" s="9" t="n">
        <x:f>D97/SUMIFS($D$6:$D$449,$A$6:$A$449,A97,$B$6:$B$449,B97)</x:f>
        <x:v>0</x:v>
      </x:c>
      <x:c r="I97" s="9" t="n">
        <x:f>E97/SUMIFS($E$6:$E$449,$A$6:$A$449,A97,$B$6:$B$449,B97)</x:f>
        <x:v>0</x:v>
      </x:c>
      <x:c r="J97" s="10" t="n">
        <x:f>(I97-H97)*100</x:f>
        <x:v>0</x:v>
      </x:c>
      <x:c r="K97" s="2"/>
      <x:c r="L97" s="2"/>
      <x:c r="M97" s="2" t="str">
        <x:f>IF(OR(K97="",L97=""),"n.a.",K97-L97)</x:f>
        <x:v>n.a.</x:v>
      </x:c>
    </x:row>
    <x:row r="98" ht="22" customHeight="1">
      <x:c r="A98" s="2" t="str">
        <x:v>全样本</x:v>
      </x:c>
      <x:c r="B98" s="2" t="str">
        <x:v>FY2025</x:v>
      </x:c>
      <x:c r="C98" s="2" t="str">
        <x:v>smart</x:v>
      </x:c>
      <x:c r="D98" s="8" t="n">
        <x:v>0</x:v>
      </x:c>
      <x:c r="E98" s="8" t="n">
        <x:v>0</x:v>
      </x:c>
      <x:c r="F98" s="8" t="n">
        <x:f>E98-D98</x:f>
        <x:v>0</x:v>
      </x:c>
      <x:c r="G98" s="9" t="str">
        <x:f>IF(D98=0,"n.a.",F98/D98)</x:f>
        <x:v>n.a.</x:v>
      </x:c>
      <x:c r="H98" s="9" t="n">
        <x:f>D98/SUMIFS($D$6:$D$449,$A$6:$A$449,A98,$B$6:$B$449,B98)</x:f>
        <x:v>0</x:v>
      </x:c>
      <x:c r="I98" s="9" t="n">
        <x:f>E98/SUMIFS($E$6:$E$449,$A$6:$A$449,A98,$B$6:$B$449,B98)</x:f>
        <x:v>0</x:v>
      </x:c>
      <x:c r="J98" s="10" t="n">
        <x:f>(I98-H98)*100</x:f>
        <x:v>0</x:v>
      </x:c>
      <x:c r="K98" s="2"/>
      <x:c r="L98" s="2"/>
      <x:c r="M98" s="2" t="str">
        <x:f>IF(OR(K98="",L98=""),"n.a.",K98-L98)</x:f>
        <x:v>n.a.</x:v>
      </x:c>
    </x:row>
    <x:row r="99" ht="22" customHeight="1">
      <x:c r="A99" s="2" t="str">
        <x:v>全样本</x:v>
      </x:c>
      <x:c r="B99" s="2" t="str">
        <x:v>FY2025</x:v>
      </x:c>
      <x:c r="C99" s="2" t="str">
        <x:v>一汽</x:v>
      </x:c>
      <x:c r="D99" s="8" t="n">
        <x:v>0</x:v>
      </x:c>
      <x:c r="E99" s="8" t="n">
        <x:v>0</x:v>
      </x:c>
      <x:c r="F99" s="8" t="n">
        <x:f>E99-D99</x:f>
        <x:v>0</x:v>
      </x:c>
      <x:c r="G99" s="9" t="str">
        <x:f>IF(D99=0,"n.a.",F99/D99)</x:f>
        <x:v>n.a.</x:v>
      </x:c>
      <x:c r="H99" s="9" t="n">
        <x:f>D99/SUMIFS($D$6:$D$449,$A$6:$A$449,A99,$B$6:$B$449,B99)</x:f>
        <x:v>0</x:v>
      </x:c>
      <x:c r="I99" s="9" t="n">
        <x:f>E99/SUMIFS($E$6:$E$449,$A$6:$A$449,A99,$B$6:$B$449,B99)</x:f>
        <x:v>0</x:v>
      </x:c>
      <x:c r="J99" s="10" t="n">
        <x:f>(I99-H99)*100</x:f>
        <x:v>0</x:v>
      </x:c>
      <x:c r="K99" s="2"/>
      <x:c r="L99" s="2"/>
      <x:c r="M99" s="2" t="str">
        <x:f>IF(OR(K99="",L99=""),"n.a.",K99-L99)</x:f>
        <x:v>n.a.</x:v>
      </x:c>
    </x:row>
    <x:row r="100" ht="22" customHeight="1">
      <x:c r="A100" s="2" t="str">
        <x:v>全样本</x:v>
      </x:c>
      <x:c r="B100" s="2" t="str">
        <x:v>FY2025</x:v>
      </x:c>
      <x:c r="C100" s="2" t="str">
        <x:v>东南</x:v>
      </x:c>
      <x:c r="D100" s="8" t="n">
        <x:v>0</x:v>
      </x:c>
      <x:c r="E100" s="8" t="n">
        <x:v>0</x:v>
      </x:c>
      <x:c r="F100" s="8" t="n">
        <x:f>E100-D100</x:f>
        <x:v>0</x:v>
      </x:c>
      <x:c r="G100" s="9" t="str">
        <x:f>IF(D100=0,"n.a.",F100/D100)</x:f>
        <x:v>n.a.</x:v>
      </x:c>
      <x:c r="H100" s="9" t="n">
        <x:f>D100/SUMIFS($D$6:$D$449,$A$6:$A$449,A100,$B$6:$B$449,B100)</x:f>
        <x:v>0</x:v>
      </x:c>
      <x:c r="I100" s="9" t="n">
        <x:f>E100/SUMIFS($E$6:$E$449,$A$6:$A$449,A100,$B$6:$B$449,B100)</x:f>
        <x:v>0</x:v>
      </x:c>
      <x:c r="J100" s="10" t="n">
        <x:f>(I100-H100)*100</x:f>
        <x:v>0</x:v>
      </x:c>
      <x:c r="K100" s="2"/>
      <x:c r="L100" s="2"/>
      <x:c r="M100" s="2" t="str">
        <x:f>IF(OR(K100="",L100=""),"n.a.",K100-L100)</x:f>
        <x:v>n.a.</x:v>
      </x:c>
    </x:row>
    <x:row r="101" ht="22" customHeight="1">
      <x:c r="A101" s="2" t="str">
        <x:v>全样本</x:v>
      </x:c>
      <x:c r="B101" s="2" t="str">
        <x:v>FY2025</x:v>
      </x:c>
      <x:c r="C101" s="2" t="str">
        <x:v>三菱</x:v>
      </x:c>
      <x:c r="D101" s="8" t="n">
        <x:v>0</x:v>
      </x:c>
      <x:c r="E101" s="8" t="n">
        <x:v>0</x:v>
      </x:c>
      <x:c r="F101" s="8" t="n">
        <x:f>E101-D101</x:f>
        <x:v>0</x:v>
      </x:c>
      <x:c r="G101" s="9" t="str">
        <x:f>IF(D101=0,"n.a.",F101/D101)</x:f>
        <x:v>n.a.</x:v>
      </x:c>
      <x:c r="H101" s="9" t="n">
        <x:f>D101/SUMIFS($D$6:$D$449,$A$6:$A$449,A101,$B$6:$B$449,B101)</x:f>
        <x:v>0</x:v>
      </x:c>
      <x:c r="I101" s="9" t="n">
        <x:f>E101/SUMIFS($E$6:$E$449,$A$6:$A$449,A101,$B$6:$B$449,B101)</x:f>
        <x:v>0</x:v>
      </x:c>
      <x:c r="J101" s="10" t="n">
        <x:f>(I101-H101)*100</x:f>
        <x:v>0</x:v>
      </x:c>
      <x:c r="K101" s="2"/>
      <x:c r="L101" s="2"/>
      <x:c r="M101" s="2" t="str">
        <x:f>IF(OR(K101="",L101=""),"n.a.",K101-L101)</x:f>
        <x:v>n.a.</x:v>
      </x:c>
    </x:row>
    <x:row r="102" ht="22" customHeight="1">
      <x:c r="A102" s="2" t="str">
        <x:v>全样本</x:v>
      </x:c>
      <x:c r="B102" s="2" t="str">
        <x:v>FY2025</x:v>
      </x:c>
      <x:c r="C102" s="2" t="str">
        <x:v>东风</x:v>
      </x:c>
      <x:c r="D102" s="8" t="n">
        <x:v>0</x:v>
      </x:c>
      <x:c r="E102" s="8" t="n">
        <x:v>0</x:v>
      </x:c>
      <x:c r="F102" s="8" t="n">
        <x:f>E102-D102</x:f>
        <x:v>0</x:v>
      </x:c>
      <x:c r="G102" s="9" t="str">
        <x:f>IF(D102=0,"n.a.",F102/D102)</x:f>
        <x:v>n.a.</x:v>
      </x:c>
      <x:c r="H102" s="9" t="n">
        <x:f>D102/SUMIFS($D$6:$D$449,$A$6:$A$449,A102,$B$6:$B$449,B102)</x:f>
        <x:v>0</x:v>
      </x:c>
      <x:c r="I102" s="9" t="n">
        <x:f>E102/SUMIFS($E$6:$E$449,$A$6:$A$449,A102,$B$6:$B$449,B102)</x:f>
        <x:v>0</x:v>
      </x:c>
      <x:c r="J102" s="10" t="n">
        <x:f>(I102-H102)*100</x:f>
        <x:v>0</x:v>
      </x:c>
      <x:c r="K102" s="2"/>
      <x:c r="L102" s="2"/>
      <x:c r="M102" s="2" t="str">
        <x:f>IF(OR(K102="",L102=""),"n.a.",K102-L102)</x:f>
        <x:v>n.a.</x:v>
      </x:c>
    </x:row>
    <x:row r="103" ht="22" customHeight="1">
      <x:c r="A103" s="2" t="str">
        <x:v>全样本</x:v>
      </x:c>
      <x:c r="B103" s="2" t="str">
        <x:v>FY2025</x:v>
      </x:c>
      <x:c r="C103" s="2" t="str">
        <x:v>东风小康</x:v>
      </x:c>
      <x:c r="D103" s="8" t="n">
        <x:v>0</x:v>
      </x:c>
      <x:c r="E103" s="8" t="n">
        <x:v>0</x:v>
      </x:c>
      <x:c r="F103" s="8" t="n">
        <x:f>E103-D103</x:f>
        <x:v>0</x:v>
      </x:c>
      <x:c r="G103" s="9" t="str">
        <x:f>IF(D103=0,"n.a.",F103/D103)</x:f>
        <x:v>n.a.</x:v>
      </x:c>
      <x:c r="H103" s="9" t="n">
        <x:f>D103/SUMIFS($D$6:$D$449,$A$6:$A$449,A103,$B$6:$B$449,B103)</x:f>
        <x:v>0</x:v>
      </x:c>
      <x:c r="I103" s="9" t="n">
        <x:f>E103/SUMIFS($E$6:$E$449,$A$6:$A$449,A103,$B$6:$B$449,B103)</x:f>
        <x:v>0</x:v>
      </x:c>
      <x:c r="J103" s="10" t="n">
        <x:f>(I103-H103)*100</x:f>
        <x:v>0</x:v>
      </x:c>
      <x:c r="K103" s="2"/>
      <x:c r="L103" s="2"/>
      <x:c r="M103" s="2" t="str">
        <x:f>IF(OR(K103="",L103=""),"n.a.",K103-L103)</x:f>
        <x:v>n.a.</x:v>
      </x:c>
    </x:row>
    <x:row r="104" ht="22" customHeight="1">
      <x:c r="A104" s="2" t="str">
        <x:v>全样本</x:v>
      </x:c>
      <x:c r="B104" s="2" t="str">
        <x:v>FY2025</x:v>
      </x:c>
      <x:c r="C104" s="2" t="str">
        <x:v>全球鹰</x:v>
      </x:c>
      <x:c r="D104" s="8" t="n">
        <x:v>0</x:v>
      </x:c>
      <x:c r="E104" s="8" t="n">
        <x:v>0</x:v>
      </x:c>
      <x:c r="F104" s="8" t="n">
        <x:f>E104-D104</x:f>
        <x:v>0</x:v>
      </x:c>
      <x:c r="G104" s="9" t="str">
        <x:f>IF(D104=0,"n.a.",F104/D104)</x:f>
        <x:v>n.a.</x:v>
      </x:c>
      <x:c r="H104" s="9" t="n">
        <x:f>D104/SUMIFS($D$6:$D$449,$A$6:$A$449,A104,$B$6:$B$449,B104)</x:f>
        <x:v>0</x:v>
      </x:c>
      <x:c r="I104" s="9" t="n">
        <x:f>E104/SUMIFS($E$6:$E$449,$A$6:$A$449,A104,$B$6:$B$449,B104)</x:f>
        <x:v>0</x:v>
      </x:c>
      <x:c r="J104" s="10" t="n">
        <x:f>(I104-H104)*100</x:f>
        <x:v>0</x:v>
      </x:c>
      <x:c r="K104" s="2"/>
      <x:c r="L104" s="2"/>
      <x:c r="M104" s="2" t="str">
        <x:f>IF(OR(K104="",L104=""),"n.a.",K104-L104)</x:f>
        <x:v>n.a.</x:v>
      </x:c>
    </x:row>
    <x:row r="105" ht="22" customHeight="1">
      <x:c r="A105" s="2" t="str">
        <x:v>全样本</x:v>
      </x:c>
      <x:c r="B105" s="2" t="str">
        <x:v>FY2025</x:v>
      </x:c>
      <x:c r="C105" s="2" t="str">
        <x:v>五十铃</x:v>
      </x:c>
      <x:c r="D105" s="8" t="n">
        <x:v>0</x:v>
      </x:c>
      <x:c r="E105" s="8" t="n">
        <x:v>0</x:v>
      </x:c>
      <x:c r="F105" s="8" t="n">
        <x:f>E105-D105</x:f>
        <x:v>0</x:v>
      </x:c>
      <x:c r="G105" s="9" t="str">
        <x:f>IF(D105=0,"n.a.",F105/D105)</x:f>
        <x:v>n.a.</x:v>
      </x:c>
      <x:c r="H105" s="9" t="n">
        <x:f>D105/SUMIFS($D$6:$D$449,$A$6:$A$449,A105,$B$6:$B$449,B105)</x:f>
        <x:v>0</x:v>
      </x:c>
      <x:c r="I105" s="9" t="n">
        <x:f>E105/SUMIFS($E$6:$E$449,$A$6:$A$449,A105,$B$6:$B$449,B105)</x:f>
        <x:v>0</x:v>
      </x:c>
      <x:c r="J105" s="10" t="n">
        <x:f>(I105-H105)*100</x:f>
        <x:v>0</x:v>
      </x:c>
      <x:c r="K105" s="2"/>
      <x:c r="L105" s="2"/>
      <x:c r="M105" s="2" t="str">
        <x:f>IF(OR(K105="",L105=""),"n.a.",K105-L105)</x:f>
        <x:v>n.a.</x:v>
      </x:c>
    </x:row>
    <x:row r="106" ht="22" customHeight="1">
      <x:c r="A106" s="2" t="str">
        <x:v>全样本</x:v>
      </x:c>
      <x:c r="B106" s="2" t="str">
        <x:v>FY2025</x:v>
      </x:c>
      <x:c r="C106" s="2" t="str">
        <x:v>仰望</x:v>
      </x:c>
      <x:c r="D106" s="8" t="n">
        <x:v>0</x:v>
      </x:c>
      <x:c r="E106" s="8" t="n">
        <x:v>0</x:v>
      </x:c>
      <x:c r="F106" s="8" t="n">
        <x:f>E106-D106</x:f>
        <x:v>0</x:v>
      </x:c>
      <x:c r="G106" s="9" t="str">
        <x:f>IF(D106=0,"n.a.",F106/D106)</x:f>
        <x:v>n.a.</x:v>
      </x:c>
      <x:c r="H106" s="9" t="n">
        <x:f>D106/SUMIFS($D$6:$D$449,$A$6:$A$449,A106,$B$6:$B$449,B106)</x:f>
        <x:v>0</x:v>
      </x:c>
      <x:c r="I106" s="9" t="n">
        <x:f>E106/SUMIFS($E$6:$E$449,$A$6:$A$449,A106,$B$6:$B$449,B106)</x:f>
        <x:v>0</x:v>
      </x:c>
      <x:c r="J106" s="10" t="n">
        <x:f>(I106-H106)*100</x:f>
        <x:v>0</x:v>
      </x:c>
      <x:c r="K106" s="2"/>
      <x:c r="L106" s="2"/>
      <x:c r="M106" s="2" t="str">
        <x:f>IF(OR(K106="",L106=""),"n.a.",K106-L106)</x:f>
        <x:v>n.a.</x:v>
      </x:c>
    </x:row>
    <x:row r="107" ht="22" customHeight="1">
      <x:c r="A107" s="2" t="str">
        <x:v>全样本</x:v>
      </x:c>
      <x:c r="B107" s="2" t="str">
        <x:v>FY2025</x:v>
      </x:c>
      <x:c r="C107" s="2" t="str">
        <x:v>众泰</x:v>
      </x:c>
      <x:c r="D107" s="8" t="n">
        <x:v>0</x:v>
      </x:c>
      <x:c r="E107" s="8" t="n">
        <x:v>0</x:v>
      </x:c>
      <x:c r="F107" s="8" t="n">
        <x:f>E107-D107</x:f>
        <x:v>0</x:v>
      </x:c>
      <x:c r="G107" s="9" t="str">
        <x:f>IF(D107=0,"n.a.",F107/D107)</x:f>
        <x:v>n.a.</x:v>
      </x:c>
      <x:c r="H107" s="9" t="n">
        <x:f>D107/SUMIFS($D$6:$D$449,$A$6:$A$449,A107,$B$6:$B$449,B107)</x:f>
        <x:v>0</x:v>
      </x:c>
      <x:c r="I107" s="9" t="n">
        <x:f>E107/SUMIFS($E$6:$E$449,$A$6:$A$449,A107,$B$6:$B$449,B107)</x:f>
        <x:v>0</x:v>
      </x:c>
      <x:c r="J107" s="10" t="n">
        <x:f>(I107-H107)*100</x:f>
        <x:v>0</x:v>
      </x:c>
      <x:c r="K107" s="2"/>
      <x:c r="L107" s="2"/>
      <x:c r="M107" s="2" t="str">
        <x:f>IF(OR(K107="",L107=""),"n.a.",K107-L107)</x:f>
        <x:v>n.a.</x:v>
      </x:c>
    </x:row>
    <x:row r="108" ht="22" customHeight="1">
      <x:c r="A108" s="2" t="str">
        <x:v>全样本</x:v>
      </x:c>
      <x:c r="B108" s="2" t="str">
        <x:v>FY2025</x:v>
      </x:c>
      <x:c r="C108" s="2" t="str">
        <x:v>中兴</x:v>
      </x:c>
      <x:c r="D108" s="8" t="n">
        <x:v>0</x:v>
      </x:c>
      <x:c r="E108" s="8" t="n">
        <x:v>0</x:v>
      </x:c>
      <x:c r="F108" s="8" t="n">
        <x:f>E108-D108</x:f>
        <x:v>0</x:v>
      </x:c>
      <x:c r="G108" s="9" t="str">
        <x:f>IF(D108=0,"n.a.",F108/D108)</x:f>
        <x:v>n.a.</x:v>
      </x:c>
      <x:c r="H108" s="9" t="n">
        <x:f>D108/SUMIFS($D$6:$D$449,$A$6:$A$449,A108,$B$6:$B$449,B108)</x:f>
        <x:v>0</x:v>
      </x:c>
      <x:c r="I108" s="9" t="n">
        <x:f>E108/SUMIFS($E$6:$E$449,$A$6:$A$449,A108,$B$6:$B$449,B108)</x:f>
        <x:v>0</x:v>
      </x:c>
      <x:c r="J108" s="10" t="n">
        <x:f>(I108-H108)*100</x:f>
        <x:v>0</x:v>
      </x:c>
      <x:c r="K108" s="2"/>
      <x:c r="L108" s="2"/>
      <x:c r="M108" s="2" t="str">
        <x:f>IF(OR(K108="",L108=""),"n.a.",K108-L108)</x:f>
        <x:v>n.a.</x:v>
      </x:c>
    </x:row>
    <x:row r="109" ht="22" customHeight="1">
      <x:c r="A109" s="2" t="str">
        <x:v>全样本</x:v>
      </x:c>
      <x:c r="B109" s="2" t="str">
        <x:v>FY2025</x:v>
      </x:c>
      <x:c r="C109" s="2" t="str">
        <x:v>极越</x:v>
      </x:c>
      <x:c r="D109" s="8" t="n">
        <x:v>13561</x:v>
      </x:c>
      <x:c r="E109" s="8" t="n">
        <x:v>0</x:v>
      </x:c>
      <x:c r="F109" s="8" t="n">
        <x:f>E109-D109</x:f>
        <x:v>-13561</x:v>
      </x:c>
      <x:c r="G109" s="9" t="n">
        <x:f>IF(D109=0,"n.a.",F109/D109)</x:f>
        <x:v>-1</x:v>
      </x:c>
      <x:c r="H109" s="9" t="n">
        <x:f>D109/SUMIFS($D$6:$D$449,$A$6:$A$449,A109,$B$6:$B$449,B109)</x:f>
        <x:v>0.0007976671251149797</x:v>
      </x:c>
      <x:c r="I109" s="9" t="n">
        <x:f>E109/SUMIFS($E$6:$E$449,$A$6:$A$449,A109,$B$6:$B$449,B109)</x:f>
        <x:v>0</x:v>
      </x:c>
      <x:c r="J109" s="10" t="n">
        <x:f>(I109-H109)*100</x:f>
        <x:v>-0.07976671251149797</x:v>
      </x:c>
      <x:c r="K109" s="2" t="n">
        <x:v>61</x:v>
      </x:c>
      <x:c r="L109" s="2"/>
      <x:c r="M109" s="2" t="str">
        <x:f>IF(OR(K109="",L109=""),"n.a.",K109-L109)</x:f>
        <x:v>n.a.</x:v>
      </x:c>
    </x:row>
    <x:row r="110" ht="22" customHeight="1">
      <x:c r="A110" s="2" t="str">
        <x:v>全样本</x:v>
      </x:c>
      <x:c r="B110" s="2" t="str">
        <x:v>FY2025</x:v>
      </x:c>
      <x:c r="C110" s="2" t="str">
        <x:v>新特</x:v>
      </x:c>
      <x:c r="D110" s="8" t="n">
        <x:v>0</x:v>
      </x:c>
      <x:c r="E110" s="8" t="n">
        <x:v>0</x:v>
      </x:c>
      <x:c r="F110" s="8" t="n">
        <x:f>E110-D110</x:f>
        <x:v>0</x:v>
      </x:c>
      <x:c r="G110" s="9" t="str">
        <x:f>IF(D110=0,"n.a.",F110/D110)</x:f>
        <x:v>n.a.</x:v>
      </x:c>
      <x:c r="H110" s="9" t="n">
        <x:f>D110/SUMIFS($D$6:$D$449,$A$6:$A$449,A110,$B$6:$B$449,B110)</x:f>
        <x:v>0</x:v>
      </x:c>
      <x:c r="I110" s="9" t="n">
        <x:f>E110/SUMIFS($E$6:$E$449,$A$6:$A$449,A110,$B$6:$B$449,B110)</x:f>
        <x:v>0</x:v>
      </x:c>
      <x:c r="J110" s="10" t="n">
        <x:f>(I110-H110)*100</x:f>
        <x:v>0</x:v>
      </x:c>
      <x:c r="K110" s="2"/>
      <x:c r="L110" s="2"/>
      <x:c r="M110" s="2" t="str">
        <x:f>IF(OR(K110="",L110=""),"n.a.",K110-L110)</x:f>
        <x:v>n.a.</x:v>
      </x:c>
    </x:row>
    <x:row r="111" ht="22" customHeight="1">
      <x:c r="A111" s="2" t="str">
        <x:v>全样本</x:v>
      </x:c>
      <x:c r="B111" s="2" t="str">
        <x:v>FY2025</x:v>
      </x:c>
      <x:c r="C111" s="2" t="str">
        <x:v>斯柯达</x:v>
      </x:c>
      <x:c r="D111" s="8" t="n">
        <x:v>0</x:v>
      </x:c>
      <x:c r="E111" s="8" t="n">
        <x:v>0</x:v>
      </x:c>
      <x:c r="F111" s="8" t="n">
        <x:f>E111-D111</x:f>
        <x:v>0</x:v>
      </x:c>
      <x:c r="G111" s="9" t="str">
        <x:f>IF(D111=0,"n.a.",F111/D111)</x:f>
        <x:v>n.a.</x:v>
      </x:c>
      <x:c r="H111" s="9" t="n">
        <x:f>D111/SUMIFS($D$6:$D$449,$A$6:$A$449,A111,$B$6:$B$449,B111)</x:f>
        <x:v>0</x:v>
      </x:c>
      <x:c r="I111" s="9" t="n">
        <x:f>E111/SUMIFS($E$6:$E$449,$A$6:$A$449,A111,$B$6:$B$449,B111)</x:f>
        <x:v>0</x:v>
      </x:c>
      <x:c r="J111" s="10" t="n">
        <x:f>(I111-H111)*100</x:f>
        <x:v>0</x:v>
      </x:c>
      <x:c r="K111" s="2"/>
      <x:c r="L111" s="2"/>
      <x:c r="M111" s="2" t="str">
        <x:f>IF(OR(K111="",L111=""),"n.a.",K111-L111)</x:f>
        <x:v>n.a.</x:v>
      </x:c>
    </x:row>
    <x:row r="112" ht="22" customHeight="1">
      <x:c r="A112" s="2" t="str">
        <x:v>全样本</x:v>
      </x:c>
      <x:c r="B112" s="2" t="str">
        <x:v>FY2025</x:v>
      </x:c>
      <x:c r="C112" s="2" t="str">
        <x:v>小虎</x:v>
      </x:c>
      <x:c r="D112" s="8" t="n">
        <x:v>493</x:v>
      </x:c>
      <x:c r="E112" s="8" t="n">
        <x:v>0</x:v>
      </x:c>
      <x:c r="F112" s="8" t="n">
        <x:f>E112-D112</x:f>
        <x:v>-493</x:v>
      </x:c>
      <x:c r="G112" s="9" t="n">
        <x:f>IF(D112=0,"n.a.",F112/D112)</x:f>
        <x:v>-1</x:v>
      </x:c>
      <x:c r="H112" s="9" t="n">
        <x:f>D112/SUMIFS($D$6:$D$449,$A$6:$A$449,A112,$B$6:$B$449,B112)</x:f>
        <x:v>0.000028998591009636825</x:v>
      </x:c>
      <x:c r="I112" s="9" t="n">
        <x:f>E112/SUMIFS($E$6:$E$449,$A$6:$A$449,A112,$B$6:$B$449,B112)</x:f>
        <x:v>0</x:v>
      </x:c>
      <x:c r="J112" s="10" t="n">
        <x:f>(I112-H112)*100</x:f>
        <x:v>-0.0028998591009636826</x:v>
      </x:c>
      <x:c r="K112" s="2" t="n">
        <x:v>81</x:v>
      </x:c>
      <x:c r="L112" s="2"/>
      <x:c r="M112" s="2" t="str">
        <x:f>IF(OR(K112="",L112=""),"n.a.",K112-L112)</x:f>
        <x:v>n.a.</x:v>
      </x:c>
    </x:row>
    <x:row r="113" ht="22" customHeight="1">
      <x:c r="A113" s="2" t="str">
        <x:v>全样本</x:v>
      </x:c>
      <x:c r="B113" s="2" t="str">
        <x:v>FY2025</x:v>
      </x:c>
      <x:c r="C113" s="2" t="str">
        <x:v>威马汽车</x:v>
      </x:c>
      <x:c r="D113" s="8" t="n">
        <x:v>0</x:v>
      </x:c>
      <x:c r="E113" s="8" t="n">
        <x:v>0</x:v>
      </x:c>
      <x:c r="F113" s="8" t="n">
        <x:f>E113-D113</x:f>
        <x:v>0</x:v>
      </x:c>
      <x:c r="G113" s="9" t="str">
        <x:f>IF(D113=0,"n.a.",F113/D113)</x:f>
        <x:v>n.a.</x:v>
      </x:c>
      <x:c r="H113" s="9" t="n">
        <x:f>D113/SUMIFS($D$6:$D$449,$A$6:$A$449,A113,$B$6:$B$449,B113)</x:f>
        <x:v>0</x:v>
      </x:c>
      <x:c r="I113" s="9" t="n">
        <x:f>E113/SUMIFS($E$6:$E$449,$A$6:$A$449,A113,$B$6:$B$449,B113)</x:f>
        <x:v>0</x:v>
      </x:c>
      <x:c r="J113" s="10" t="n">
        <x:f>(I113-H113)*100</x:f>
        <x:v>0</x:v>
      </x:c>
      <x:c r="K113" s="2"/>
      <x:c r="L113" s="2"/>
      <x:c r="M113" s="2" t="str">
        <x:f>IF(OR(K113="",L113=""),"n.a.",K113-L113)</x:f>
        <x:v>n.a.</x:v>
      </x:c>
    </x:row>
    <x:row r="114" ht="22" customHeight="1">
      <x:c r="A114" s="2" t="str">
        <x:v>全样本</x:v>
      </x:c>
      <x:c r="B114" s="2" t="str">
        <x:v>FY2025</x:v>
      </x:c>
      <x:c r="C114" s="2" t="str">
        <x:v>广汽集团</x:v>
      </x:c>
      <x:c r="D114" s="8" t="n">
        <x:v>0</x:v>
      </x:c>
      <x:c r="E114" s="8" t="n">
        <x:v>0</x:v>
      </x:c>
      <x:c r="F114" s="8" t="n">
        <x:f>E114-D114</x:f>
        <x:v>0</x:v>
      </x:c>
      <x:c r="G114" s="9" t="str">
        <x:f>IF(D114=0,"n.a.",F114/D114)</x:f>
        <x:v>n.a.</x:v>
      </x:c>
      <x:c r="H114" s="9" t="n">
        <x:f>D114/SUMIFS($D$6:$D$449,$A$6:$A$449,A114,$B$6:$B$449,B114)</x:f>
        <x:v>0</x:v>
      </x:c>
      <x:c r="I114" s="9" t="n">
        <x:f>E114/SUMIFS($E$6:$E$449,$A$6:$A$449,A114,$B$6:$B$449,B114)</x:f>
        <x:v>0</x:v>
      </x:c>
      <x:c r="J114" s="10" t="n">
        <x:f>(I114-H114)*100</x:f>
        <x:v>0</x:v>
      </x:c>
      <x:c r="K114" s="2"/>
      <x:c r="L114" s="2"/>
      <x:c r="M114" s="2" t="str">
        <x:f>IF(OR(K114="",L114=""),"n.a.",K114-L114)</x:f>
        <x:v>n.a.</x:v>
      </x:c>
    </x:row>
    <x:row r="115" ht="22" customHeight="1">
      <x:c r="A115" s="2" t="str">
        <x:v>全样本</x:v>
      </x:c>
      <x:c r="B115" s="2" t="str">
        <x:v>FY2025</x:v>
      </x:c>
      <x:c r="C115" s="2" t="str">
        <x:v>广汽吉奥</x:v>
      </x:c>
      <x:c r="D115" s="8" t="n">
        <x:v>0</x:v>
      </x:c>
      <x:c r="E115" s="8" t="n">
        <x:v>0</x:v>
      </x:c>
      <x:c r="F115" s="8" t="n">
        <x:f>E115-D115</x:f>
        <x:v>0</x:v>
      </x:c>
      <x:c r="G115" s="9" t="str">
        <x:f>IF(D115=0,"n.a.",F115/D115)</x:f>
        <x:v>n.a.</x:v>
      </x:c>
      <x:c r="H115" s="9" t="n">
        <x:f>D115/SUMIFS($D$6:$D$449,$A$6:$A$449,A115,$B$6:$B$449,B115)</x:f>
        <x:v>0</x:v>
      </x:c>
      <x:c r="I115" s="9" t="n">
        <x:f>E115/SUMIFS($E$6:$E$449,$A$6:$A$449,A115,$B$6:$B$449,B115)</x:f>
        <x:v>0</x:v>
      </x:c>
      <x:c r="J115" s="10" t="n">
        <x:f>(I115-H115)*100</x:f>
        <x:v>0</x:v>
      </x:c>
      <x:c r="K115" s="2"/>
      <x:c r="L115" s="2"/>
      <x:c r="M115" s="2" t="str">
        <x:f>IF(OR(K115="",L115=""),"n.a.",K115-L115)</x:f>
        <x:v>n.a.</x:v>
      </x:c>
    </x:row>
    <x:row r="116" ht="22" customHeight="1">
      <x:c r="A116" s="2" t="str">
        <x:v>全样本</x:v>
      </x:c>
      <x:c r="B116" s="2" t="str">
        <x:v>FY2025</x:v>
      </x:c>
      <x:c r="C116" s="2" t="str">
        <x:v>开瑞</x:v>
      </x:c>
      <x:c r="D116" s="8" t="n">
        <x:v>0</x:v>
      </x:c>
      <x:c r="E116" s="8" t="n">
        <x:v>0</x:v>
      </x:c>
      <x:c r="F116" s="8" t="n">
        <x:f>E116-D116</x:f>
        <x:v>0</x:v>
      </x:c>
      <x:c r="G116" s="9" t="str">
        <x:f>IF(D116=0,"n.a.",F116/D116)</x:f>
        <x:v>n.a.</x:v>
      </x:c>
      <x:c r="H116" s="9" t="n">
        <x:f>D116/SUMIFS($D$6:$D$449,$A$6:$A$449,A116,$B$6:$B$449,B116)</x:f>
        <x:v>0</x:v>
      </x:c>
      <x:c r="I116" s="9" t="n">
        <x:f>E116/SUMIFS($E$6:$E$449,$A$6:$A$449,A116,$B$6:$B$449,B116)</x:f>
        <x:v>0</x:v>
      </x:c>
      <x:c r="J116" s="10" t="n">
        <x:f>(I116-H116)*100</x:f>
        <x:v>0</x:v>
      </x:c>
      <x:c r="K116" s="2"/>
      <x:c r="L116" s="2"/>
      <x:c r="M116" s="2" t="str">
        <x:f>IF(OR(K116="",L116=""),"n.a.",K116-L116)</x:f>
        <x:v>n.a.</x:v>
      </x:c>
    </x:row>
    <x:row r="117" ht="22" customHeight="1">
      <x:c r="A117" s="2" t="str">
        <x:v>全样本</x:v>
      </x:c>
      <x:c r="B117" s="2" t="str">
        <x:v>FY2025</x:v>
      </x:c>
      <x:c r="C117" s="2" t="str">
        <x:v>御捷</x:v>
      </x:c>
      <x:c r="D117" s="8" t="n">
        <x:v>0</x:v>
      </x:c>
      <x:c r="E117" s="8" t="n">
        <x:v>0</x:v>
      </x:c>
      <x:c r="F117" s="8" t="n">
        <x:f>E117-D117</x:f>
        <x:v>0</x:v>
      </x:c>
      <x:c r="G117" s="9" t="str">
        <x:f>IF(D117=0,"n.a.",F117/D117)</x:f>
        <x:v>n.a.</x:v>
      </x:c>
      <x:c r="H117" s="9" t="n">
        <x:f>D117/SUMIFS($D$6:$D$449,$A$6:$A$449,A117,$B$6:$B$449,B117)</x:f>
        <x:v>0</x:v>
      </x:c>
      <x:c r="I117" s="9" t="n">
        <x:f>E117/SUMIFS($E$6:$E$449,$A$6:$A$449,A117,$B$6:$B$449,B117)</x:f>
        <x:v>0</x:v>
      </x:c>
      <x:c r="J117" s="10" t="n">
        <x:f>(I117-H117)*100</x:f>
        <x:v>0</x:v>
      </x:c>
      <x:c r="K117" s="2"/>
      <x:c r="L117" s="2"/>
      <x:c r="M117" s="2" t="str">
        <x:f>IF(OR(K117="",L117=""),"n.a.",K117-L117)</x:f>
        <x:v>n.a.</x:v>
      </x:c>
    </x:row>
    <x:row r="118" ht="22" customHeight="1">
      <x:c r="A118" s="2" t="str">
        <x:v>全样本</x:v>
      </x:c>
      <x:c r="B118" s="2" t="str">
        <x:v>FY2025</x:v>
      </x:c>
      <x:c r="C118" s="2" t="str">
        <x:v>思皓</x:v>
      </x:c>
      <x:c r="D118" s="8" t="n">
        <x:v>0</x:v>
      </x:c>
      <x:c r="E118" s="8" t="n">
        <x:v>0</x:v>
      </x:c>
      <x:c r="F118" s="8" t="n">
        <x:f>E118-D118</x:f>
        <x:v>0</x:v>
      </x:c>
      <x:c r="G118" s="9" t="str">
        <x:f>IF(D118=0,"n.a.",F118/D118)</x:f>
        <x:v>n.a.</x:v>
      </x:c>
      <x:c r="H118" s="9" t="n">
        <x:f>D118/SUMIFS($D$6:$D$449,$A$6:$A$449,A118,$B$6:$B$449,B118)</x:f>
        <x:v>0</x:v>
      </x:c>
      <x:c r="I118" s="9" t="n">
        <x:f>E118/SUMIFS($E$6:$E$449,$A$6:$A$449,A118,$B$6:$B$449,B118)</x:f>
        <x:v>0</x:v>
      </x:c>
      <x:c r="J118" s="10" t="n">
        <x:f>(I118-H118)*100</x:f>
        <x:v>0</x:v>
      </x:c>
      <x:c r="K118" s="2"/>
      <x:c r="L118" s="2"/>
      <x:c r="M118" s="2" t="str">
        <x:f>IF(OR(K118="",L118=""),"n.a.",K118-L118)</x:f>
        <x:v>n.a.</x:v>
      </x:c>
    </x:row>
    <x:row r="119" ht="22" customHeight="1">
      <x:c r="A119" s="2" t="str">
        <x:v>全样本</x:v>
      </x:c>
      <x:c r="B119" s="2" t="str">
        <x:v>FY2025</x:v>
      </x:c>
      <x:c r="C119" s="2" t="str">
        <x:v>宝沃</x:v>
      </x:c>
      <x:c r="D119" s="8" t="n">
        <x:v>0</x:v>
      </x:c>
      <x:c r="E119" s="8" t="n">
        <x:v>0</x:v>
      </x:c>
      <x:c r="F119" s="8" t="n">
        <x:f>E119-D119</x:f>
        <x:v>0</x:v>
      </x:c>
      <x:c r="G119" s="9" t="str">
        <x:f>IF(D119=0,"n.a.",F119/D119)</x:f>
        <x:v>n.a.</x:v>
      </x:c>
      <x:c r="H119" s="9" t="n">
        <x:f>D119/SUMIFS($D$6:$D$449,$A$6:$A$449,A119,$B$6:$B$449,B119)</x:f>
        <x:v>0</x:v>
      </x:c>
      <x:c r="I119" s="9" t="n">
        <x:f>E119/SUMIFS($E$6:$E$449,$A$6:$A$449,A119,$B$6:$B$449,B119)</x:f>
        <x:v>0</x:v>
      </x:c>
      <x:c r="J119" s="10" t="n">
        <x:f>(I119-H119)*100</x:f>
        <x:v>0</x:v>
      </x:c>
      <x:c r="K119" s="2"/>
      <x:c r="L119" s="2"/>
      <x:c r="M119" s="2" t="str">
        <x:f>IF(OR(K119="",L119=""),"n.a.",K119-L119)</x:f>
        <x:v>n.a.</x:v>
      </x:c>
    </x:row>
    <x:row r="120" ht="22" customHeight="1">
      <x:c r="A120" s="2" t="str">
        <x:v>全样本</x:v>
      </x:c>
      <x:c r="B120" s="2" t="str">
        <x:v>FY2025</x:v>
      </x:c>
      <x:c r="C120" s="2" t="str">
        <x:v>力帆</x:v>
      </x:c>
      <x:c r="D120" s="8" t="n">
        <x:v>0</x:v>
      </x:c>
      <x:c r="E120" s="8" t="n">
        <x:v>0</x:v>
      </x:c>
      <x:c r="F120" s="8" t="n">
        <x:f>E120-D120</x:f>
        <x:v>0</x:v>
      </x:c>
      <x:c r="G120" s="9" t="str">
        <x:f>IF(D120=0,"n.a.",F120/D120)</x:f>
        <x:v>n.a.</x:v>
      </x:c>
      <x:c r="H120" s="9" t="n">
        <x:f>D120/SUMIFS($D$6:$D$449,$A$6:$A$449,A120,$B$6:$B$449,B120)</x:f>
        <x:v>0</x:v>
      </x:c>
      <x:c r="I120" s="9" t="n">
        <x:f>E120/SUMIFS($E$6:$E$449,$A$6:$A$449,A120,$B$6:$B$449,B120)</x:f>
        <x:v>0</x:v>
      </x:c>
      <x:c r="J120" s="10" t="n">
        <x:f>(I120-H120)*100</x:f>
        <x:v>0</x:v>
      </x:c>
      <x:c r="K120" s="2"/>
      <x:c r="L120" s="2"/>
      <x:c r="M120" s="2" t="str">
        <x:f>IF(OR(K120="",L120=""),"n.a.",K120-L120)</x:f>
        <x:v>n.a.</x:v>
      </x:c>
    </x:row>
    <x:row r="121" ht="22" customHeight="1">
      <x:c r="A121" s="2" t="str">
        <x:v>全样本</x:v>
      </x:c>
      <x:c r="B121" s="2" t="str">
        <x:v>FY2025</x:v>
      </x:c>
      <x:c r="C121" s="2" t="str">
        <x:v>华泰</x:v>
      </x:c>
      <x:c r="D121" s="8" t="n">
        <x:v>0</x:v>
      </x:c>
      <x:c r="E121" s="8" t="n">
        <x:v>0</x:v>
      </x:c>
      <x:c r="F121" s="8" t="n">
        <x:f>E121-D121</x:f>
        <x:v>0</x:v>
      </x:c>
      <x:c r="G121" s="9" t="str">
        <x:f>IF(D121=0,"n.a.",F121/D121)</x:f>
        <x:v>n.a.</x:v>
      </x:c>
      <x:c r="H121" s="9" t="n">
        <x:f>D121/SUMIFS($D$6:$D$449,$A$6:$A$449,A121,$B$6:$B$449,B121)</x:f>
        <x:v>0</x:v>
      </x:c>
      <x:c r="I121" s="9" t="n">
        <x:f>E121/SUMIFS($E$6:$E$449,$A$6:$A$449,A121,$B$6:$B$449,B121)</x:f>
        <x:v>0</x:v>
      </x:c>
      <x:c r="J121" s="10" t="n">
        <x:f>(I121-H121)*100</x:f>
        <x:v>0</x:v>
      </x:c>
      <x:c r="K121" s="2"/>
      <x:c r="L121" s="2"/>
      <x:c r="M121" s="2" t="str">
        <x:f>IF(OR(K121="",L121=""),"n.a.",K121-L121)</x:f>
        <x:v>n.a.</x:v>
      </x:c>
    </x:row>
    <x:row r="122" ht="22" customHeight="1">
      <x:c r="A122" s="2" t="str">
        <x:v>全样本</x:v>
      </x:c>
      <x:c r="B122" s="2" t="str">
        <x:v>FY2025</x:v>
      </x:c>
      <x:c r="C122" s="2" t="str">
        <x:v>华骐</x:v>
      </x:c>
      <x:c r="D122" s="8" t="n">
        <x:v>0</x:v>
      </x:c>
      <x:c r="E122" s="8" t="n">
        <x:v>0</x:v>
      </x:c>
      <x:c r="F122" s="8" t="n">
        <x:f>E122-D122</x:f>
        <x:v>0</x:v>
      </x:c>
      <x:c r="G122" s="9" t="str">
        <x:f>IF(D122=0,"n.a.",F122/D122)</x:f>
        <x:v>n.a.</x:v>
      </x:c>
      <x:c r="H122" s="9" t="n">
        <x:f>D122/SUMIFS($D$6:$D$449,$A$6:$A$449,A122,$B$6:$B$449,B122)</x:f>
        <x:v>0</x:v>
      </x:c>
      <x:c r="I122" s="9" t="n">
        <x:f>E122/SUMIFS($E$6:$E$449,$A$6:$A$449,A122,$B$6:$B$449,B122)</x:f>
        <x:v>0</x:v>
      </x:c>
      <x:c r="J122" s="10" t="n">
        <x:f>(I122-H122)*100</x:f>
        <x:v>0</x:v>
      </x:c>
      <x:c r="K122" s="2"/>
      <x:c r="L122" s="2"/>
      <x:c r="M122" s="2" t="str">
        <x:f>IF(OR(K122="",L122=""),"n.a.",K122-L122)</x:f>
        <x:v>n.a.</x:v>
      </x:c>
    </x:row>
    <x:row r="123" ht="22" customHeight="1">
      <x:c r="A123" s="2" t="str">
        <x:v>全样本</x:v>
      </x:c>
      <x:c r="B123" s="2" t="str">
        <x:v>FY2025</x:v>
      </x:c>
      <x:c r="C123" s="2" t="str">
        <x:v>华颂</x:v>
      </x:c>
      <x:c r="D123" s="8" t="n">
        <x:v>0</x:v>
      </x:c>
      <x:c r="E123" s="8" t="n">
        <x:v>0</x:v>
      </x:c>
      <x:c r="F123" s="8" t="n">
        <x:f>E123-D123</x:f>
        <x:v>0</x:v>
      </x:c>
      <x:c r="G123" s="9" t="str">
        <x:f>IF(D123=0,"n.a.",F123/D123)</x:f>
        <x:v>n.a.</x:v>
      </x:c>
      <x:c r="H123" s="9" t="n">
        <x:f>D123/SUMIFS($D$6:$D$449,$A$6:$A$449,A123,$B$6:$B$449,B123)</x:f>
        <x:v>0</x:v>
      </x:c>
      <x:c r="I123" s="9" t="n">
        <x:f>E123/SUMIFS($E$6:$E$449,$A$6:$A$449,A123,$B$6:$B$449,B123)</x:f>
        <x:v>0</x:v>
      </x:c>
      <x:c r="J123" s="10" t="n">
        <x:f>(I123-H123)*100</x:f>
        <x:v>0</x:v>
      </x:c>
      <x:c r="K123" s="2"/>
      <x:c r="L123" s="2"/>
      <x:c r="M123" s="2" t="str">
        <x:f>IF(OR(K123="",L123=""),"n.a.",K123-L123)</x:f>
        <x:v>n.a.</x:v>
      </x:c>
    </x:row>
    <x:row r="124" ht="22" customHeight="1">
      <x:c r="A124" s="2" t="str">
        <x:v>全样本</x:v>
      </x:c>
      <x:c r="B124" s="2" t="str">
        <x:v>FY2025</x:v>
      </x:c>
      <x:c r="C124" s="2" t="str">
        <x:v>北汽昌河</x:v>
      </x:c>
      <x:c r="D124" s="8" t="n">
        <x:v>0</x:v>
      </x:c>
      <x:c r="E124" s="8" t="n">
        <x:v>0</x:v>
      </x:c>
      <x:c r="F124" s="8" t="n">
        <x:f>E124-D124</x:f>
        <x:v>0</x:v>
      </x:c>
      <x:c r="G124" s="9" t="str">
        <x:f>IF(D124=0,"n.a.",F124/D124)</x:f>
        <x:v>n.a.</x:v>
      </x:c>
      <x:c r="H124" s="9" t="n">
        <x:f>D124/SUMIFS($D$6:$D$449,$A$6:$A$449,A124,$B$6:$B$449,B124)</x:f>
        <x:v>0</x:v>
      </x:c>
      <x:c r="I124" s="9" t="n">
        <x:f>E124/SUMIFS($E$6:$E$449,$A$6:$A$449,A124,$B$6:$B$449,B124)</x:f>
        <x:v>0</x:v>
      </x:c>
      <x:c r="J124" s="10" t="n">
        <x:f>(I124-H124)*100</x:f>
        <x:v>0</x:v>
      </x:c>
      <x:c r="K124" s="2"/>
      <x:c r="L124" s="2"/>
      <x:c r="M124" s="2" t="str">
        <x:f>IF(OR(K124="",L124=""),"n.a.",K124-L124)</x:f>
        <x:v>n.a.</x:v>
      </x:c>
    </x:row>
    <x:row r="125" ht="22" customHeight="1">
      <x:c r="A125" s="2" t="str">
        <x:v>全样本</x:v>
      </x:c>
      <x:c r="B125" s="2" t="str">
        <x:v>FY2025</x:v>
      </x:c>
      <x:c r="C125" s="2" t="str">
        <x:v>北汽威旺</x:v>
      </x:c>
      <x:c r="D125" s="8" t="n">
        <x:v>0</x:v>
      </x:c>
      <x:c r="E125" s="8" t="n">
        <x:v>0</x:v>
      </x:c>
      <x:c r="F125" s="8" t="n">
        <x:f>E125-D125</x:f>
        <x:v>0</x:v>
      </x:c>
      <x:c r="G125" s="9" t="str">
        <x:f>IF(D125=0,"n.a.",F125/D125)</x:f>
        <x:v>n.a.</x:v>
      </x:c>
      <x:c r="H125" s="9" t="n">
        <x:f>D125/SUMIFS($D$6:$D$449,$A$6:$A$449,A125,$B$6:$B$449,B125)</x:f>
        <x:v>0</x:v>
      </x:c>
      <x:c r="I125" s="9" t="n">
        <x:f>E125/SUMIFS($E$6:$E$449,$A$6:$A$449,A125,$B$6:$B$449,B125)</x:f>
        <x:v>0</x:v>
      </x:c>
      <x:c r="J125" s="10" t="n">
        <x:f>(I125-H125)*100</x:f>
        <x:v>0</x:v>
      </x:c>
      <x:c r="K125" s="2"/>
      <x:c r="L125" s="2"/>
      <x:c r="M125" s="2" t="str">
        <x:f>IF(OR(K125="",L125=""),"n.a.",K125-L125)</x:f>
        <x:v>n.a.</x:v>
      </x:c>
    </x:row>
    <x:row r="126" ht="22" customHeight="1">
      <x:c r="A126" s="2" t="str">
        <x:v>全样本</x:v>
      </x:c>
      <x:c r="B126" s="2" t="str">
        <x:v>FY2025</x:v>
      </x:c>
      <x:c r="C126" s="2" t="str">
        <x:v>北汽幻速</x:v>
      </x:c>
      <x:c r="D126" s="8" t="n">
        <x:v>0</x:v>
      </x:c>
      <x:c r="E126" s="8" t="n">
        <x:v>0</x:v>
      </x:c>
      <x:c r="F126" s="8" t="n">
        <x:f>E126-D126</x:f>
        <x:v>0</x:v>
      </x:c>
      <x:c r="G126" s="9" t="str">
        <x:f>IF(D126=0,"n.a.",F126/D126)</x:f>
        <x:v>n.a.</x:v>
      </x:c>
      <x:c r="H126" s="9" t="n">
        <x:f>D126/SUMIFS($D$6:$D$449,$A$6:$A$449,A126,$B$6:$B$449,B126)</x:f>
        <x:v>0</x:v>
      </x:c>
      <x:c r="I126" s="9" t="n">
        <x:f>E126/SUMIFS($E$6:$E$449,$A$6:$A$449,A126,$B$6:$B$449,B126)</x:f>
        <x:v>0</x:v>
      </x:c>
      <x:c r="J126" s="10" t="n">
        <x:f>(I126-H126)*100</x:f>
        <x:v>0</x:v>
      </x:c>
      <x:c r="K126" s="2"/>
      <x:c r="L126" s="2"/>
      <x:c r="M126" s="2" t="str">
        <x:f>IF(OR(K126="",L126=""),"n.a.",K126-L126)</x:f>
        <x:v>n.a.</x:v>
      </x:c>
    </x:row>
    <x:row r="127" ht="22" customHeight="1">
      <x:c r="A127" s="2" t="str">
        <x:v>全样本</x:v>
      </x:c>
      <x:c r="B127" s="2" t="str">
        <x:v>FY2025</x:v>
      </x:c>
      <x:c r="C127" s="2" t="str">
        <x:v>北汽新能源</x:v>
      </x:c>
      <x:c r="D127" s="8" t="n">
        <x:v>0</x:v>
      </x:c>
      <x:c r="E127" s="8" t="n">
        <x:v>0</x:v>
      </x:c>
      <x:c r="F127" s="8" t="n">
        <x:f>E127-D127</x:f>
        <x:v>0</x:v>
      </x:c>
      <x:c r="G127" s="9" t="str">
        <x:f>IF(D127=0,"n.a.",F127/D127)</x:f>
        <x:v>n.a.</x:v>
      </x:c>
      <x:c r="H127" s="9" t="n">
        <x:f>D127/SUMIFS($D$6:$D$449,$A$6:$A$449,A127,$B$6:$B$449,B127)</x:f>
        <x:v>0</x:v>
      </x:c>
      <x:c r="I127" s="9" t="n">
        <x:f>E127/SUMIFS($E$6:$E$449,$A$6:$A$449,A127,$B$6:$B$449,B127)</x:f>
        <x:v>0</x:v>
      </x:c>
      <x:c r="J127" s="10" t="n">
        <x:f>(I127-H127)*100</x:f>
        <x:v>0</x:v>
      </x:c>
      <x:c r="K127" s="2"/>
      <x:c r="L127" s="2"/>
      <x:c r="M127" s="2" t="str">
        <x:f>IF(OR(K127="",L127=""),"n.a.",K127-L127)</x:f>
        <x:v>n.a.</x:v>
      </x:c>
    </x:row>
    <x:row r="128" ht="22" customHeight="1">
      <x:c r="A128" s="2" t="str">
        <x:v>全样本</x:v>
      </x:c>
      <x:c r="B128" s="2" t="str">
        <x:v>FY2025</x:v>
      </x:c>
      <x:c r="C128" s="2" t="str">
        <x:v>君马汽车</x:v>
      </x:c>
      <x:c r="D128" s="8" t="n">
        <x:v>0</x:v>
      </x:c>
      <x:c r="E128" s="8" t="n">
        <x:v>0</x:v>
      </x:c>
      <x:c r="F128" s="8" t="n">
        <x:f>E128-D128</x:f>
        <x:v>0</x:v>
      </x:c>
      <x:c r="G128" s="9" t="str">
        <x:f>IF(D128=0,"n.a.",F128/D128)</x:f>
        <x:v>n.a.</x:v>
      </x:c>
      <x:c r="H128" s="9" t="n">
        <x:f>D128/SUMIFS($D$6:$D$449,$A$6:$A$449,A128,$B$6:$B$449,B128)</x:f>
        <x:v>0</x:v>
      </x:c>
      <x:c r="I128" s="9" t="n">
        <x:f>E128/SUMIFS($E$6:$E$449,$A$6:$A$449,A128,$B$6:$B$449,B128)</x:f>
        <x:v>0</x:v>
      </x:c>
      <x:c r="J128" s="10" t="n">
        <x:f>(I128-H128)*100</x:f>
        <x:v>0</x:v>
      </x:c>
      <x:c r="K128" s="2"/>
      <x:c r="L128" s="2"/>
      <x:c r="M128" s="2" t="str">
        <x:f>IF(OR(K128="",L128=""),"n.a.",K128-L128)</x:f>
        <x:v>n.a.</x:v>
      </x:c>
    </x:row>
    <x:row r="129" ht="22" customHeight="1">
      <x:c r="A129" s="2" t="str">
        <x:v>全样本</x:v>
      </x:c>
      <x:c r="B129" s="2" t="str">
        <x:v>FY2025</x:v>
      </x:c>
      <x:c r="C129" s="2" t="str">
        <x:v>北京越野</x:v>
      </x:c>
      <x:c r="D129" s="8" t="n">
        <x:v>0</x:v>
      </x:c>
      <x:c r="E129" s="8" t="n">
        <x:v>0</x:v>
      </x:c>
      <x:c r="F129" s="8" t="n">
        <x:f>E129-D129</x:f>
        <x:v>0</x:v>
      </x:c>
      <x:c r="G129" s="9" t="str">
        <x:f>IF(D129=0,"n.a.",F129/D129)</x:f>
        <x:v>n.a.</x:v>
      </x:c>
      <x:c r="H129" s="9" t="n">
        <x:f>D129/SUMIFS($D$6:$D$449,$A$6:$A$449,A129,$B$6:$B$449,B129)</x:f>
        <x:v>0</x:v>
      </x:c>
      <x:c r="I129" s="9" t="n">
        <x:f>E129/SUMIFS($E$6:$E$449,$A$6:$A$449,A129,$B$6:$B$449,B129)</x:f>
        <x:v>0</x:v>
      </x:c>
      <x:c r="J129" s="10" t="n">
        <x:f>(I129-H129)*100</x:f>
        <x:v>0</x:v>
      </x:c>
      <x:c r="K129" s="2"/>
      <x:c r="L129" s="2"/>
      <x:c r="M129" s="2" t="str">
        <x:f>IF(OR(K129="",L129=""),"n.a.",K129-L129)</x:f>
        <x:v>n.a.</x:v>
      </x:c>
    </x:row>
    <x:row r="130" ht="22" customHeight="1">
      <x:c r="A130" s="2" t="str">
        <x:v>全样本</x:v>
      </x:c>
      <x:c r="B130" s="2" t="str">
        <x:v>FY2025</x:v>
      </x:c>
      <x:c r="C130" s="2" t="str">
        <x:v>华泰新能源</x:v>
      </x:c>
      <x:c r="D130" s="8" t="n">
        <x:v>0</x:v>
      </x:c>
      <x:c r="E130" s="8" t="n">
        <x:v>0</x:v>
      </x:c>
      <x:c r="F130" s="8" t="n">
        <x:f>E130-D130</x:f>
        <x:v>0</x:v>
      </x:c>
      <x:c r="G130" s="9" t="str">
        <x:f>IF(D130=0,"n.a.",F130/D130)</x:f>
        <x:v>n.a.</x:v>
      </x:c>
      <x:c r="H130" s="9" t="n">
        <x:f>D130/SUMIFS($D$6:$D$449,$A$6:$A$449,A130,$B$6:$B$449,B130)</x:f>
        <x:v>0</x:v>
      </x:c>
      <x:c r="I130" s="9" t="n">
        <x:f>E130/SUMIFS($E$6:$E$449,$A$6:$A$449,A130,$B$6:$B$449,B130)</x:f>
        <x:v>0</x:v>
      </x:c>
      <x:c r="J130" s="10" t="n">
        <x:f>(I130-H130)*100</x:f>
        <x:v>0</x:v>
      </x:c>
      <x:c r="K130" s="2"/>
      <x:c r="L130" s="2"/>
      <x:c r="M130" s="2" t="str">
        <x:f>IF(OR(K130="",L130=""),"n.a.",K130-L130)</x:f>
        <x:v>n.a.</x:v>
      </x:c>
    </x:row>
    <x:row r="131" ht="22" customHeight="1">
      <x:c r="A131" s="2" t="str">
        <x:v>全样本</x:v>
      </x:c>
      <x:c r="B131" s="2" t="str">
        <x:v>FY2025</x:v>
      </x:c>
      <x:c r="C131" s="2" t="str">
        <x:v>大乘汽车</x:v>
      </x:c>
      <x:c r="D131" s="8" t="n">
        <x:v>0</x:v>
      </x:c>
      <x:c r="E131" s="8" t="n">
        <x:v>0</x:v>
      </x:c>
      <x:c r="F131" s="8" t="n">
        <x:f>E131-D131</x:f>
        <x:v>0</x:v>
      </x:c>
      <x:c r="G131" s="9" t="str">
        <x:f>IF(D131=0,"n.a.",F131/D131)</x:f>
        <x:v>n.a.</x:v>
      </x:c>
      <x:c r="H131" s="9" t="n">
        <x:f>D131/SUMIFS($D$6:$D$449,$A$6:$A$449,A131,$B$6:$B$449,B131)</x:f>
        <x:v>0</x:v>
      </x:c>
      <x:c r="I131" s="9" t="n">
        <x:f>E131/SUMIFS($E$6:$E$449,$A$6:$A$449,A131,$B$6:$B$449,B131)</x:f>
        <x:v>0</x:v>
      </x:c>
      <x:c r="J131" s="10" t="n">
        <x:f>(I131-H131)*100</x:f>
        <x:v>0</x:v>
      </x:c>
      <x:c r="K131" s="2"/>
      <x:c r="L131" s="2"/>
      <x:c r="M131" s="2" t="str">
        <x:f>IF(OR(K131="",L131=""),"n.a.",K131-L131)</x:f>
        <x:v>n.a.</x:v>
      </x:c>
    </x:row>
    <x:row r="132" ht="22" customHeight="1">
      <x:c r="A132" s="2" t="str">
        <x:v>全样本</x:v>
      </x:c>
      <x:c r="B132" s="2" t="str">
        <x:v>FY2025</x:v>
      </x:c>
      <x:c r="C132" s="2" t="str">
        <x:v>思铭</x:v>
      </x:c>
      <x:c r="D132" s="8" t="n">
        <x:v>0</x:v>
      </x:c>
      <x:c r="E132" s="8" t="n">
        <x:v>0</x:v>
      </x:c>
      <x:c r="F132" s="8" t="n">
        <x:f>E132-D132</x:f>
        <x:v>0</x:v>
      </x:c>
      <x:c r="G132" s="9" t="str">
        <x:f>IF(D132=0,"n.a.",F132/D132)</x:f>
        <x:v>n.a.</x:v>
      </x:c>
      <x:c r="H132" s="9" t="n">
        <x:f>D132/SUMIFS($D$6:$D$449,$A$6:$A$449,A132,$B$6:$B$449,B132)</x:f>
        <x:v>0</x:v>
      </x:c>
      <x:c r="I132" s="9" t="n">
        <x:f>E132/SUMIFS($E$6:$E$449,$A$6:$A$449,A132,$B$6:$B$449,B132)</x:f>
        <x:v>0</x:v>
      </x:c>
      <x:c r="J132" s="10" t="n">
        <x:f>(I132-H132)*100</x:f>
        <x:v>0</x:v>
      </x:c>
      <x:c r="K132" s="2"/>
      <x:c r="L132" s="2"/>
      <x:c r="M132" s="2" t="str">
        <x:f>IF(OR(K132="",L132=""),"n.a.",K132-L132)</x:f>
        <x:v>n.a.</x:v>
      </x:c>
    </x:row>
    <x:row r="133" ht="22" customHeight="1">
      <x:c r="A133" s="2" t="str">
        <x:v>全样本</x:v>
      </x:c>
      <x:c r="B133" s="2" t="str">
        <x:v>FY2025</x:v>
      </x:c>
      <x:c r="C133" s="2" t="str">
        <x:v>埃尚</x:v>
      </x:c>
      <x:c r="D133" s="8" t="n">
        <x:v>0</x:v>
      </x:c>
      <x:c r="E133" s="8" t="n">
        <x:v>0</x:v>
      </x:c>
      <x:c r="F133" s="8" t="n">
        <x:f>E133-D133</x:f>
        <x:v>0</x:v>
      </x:c>
      <x:c r="G133" s="9" t="str">
        <x:f>IF(D133=0,"n.a.",F133/D133)</x:f>
        <x:v>n.a.</x:v>
      </x:c>
      <x:c r="H133" s="9" t="n">
        <x:f>D133/SUMIFS($D$6:$D$449,$A$6:$A$449,A133,$B$6:$B$449,B133)</x:f>
        <x:v>0</x:v>
      </x:c>
      <x:c r="I133" s="9" t="n">
        <x:f>E133/SUMIFS($E$6:$E$449,$A$6:$A$449,A133,$B$6:$B$449,B133)</x:f>
        <x:v>0</x:v>
      </x:c>
      <x:c r="J133" s="10" t="n">
        <x:f>(I133-H133)*100</x:f>
        <x:v>0</x:v>
      </x:c>
      <x:c r="K133" s="2"/>
      <x:c r="L133" s="2"/>
      <x:c r="M133" s="2" t="str">
        <x:f>IF(OR(K133="",L133=""),"n.a.",K133-L133)</x:f>
        <x:v>n.a.</x:v>
      </x:c>
    </x:row>
    <x:row r="134" ht="22" customHeight="1">
      <x:c r="A134" s="2" t="str">
        <x:v>全样本</x:v>
      </x:c>
      <x:c r="B134" s="2" t="str">
        <x:v>FY2025</x:v>
      </x:c>
      <x:c r="C134" s="2" t="str">
        <x:v>哈弗</x:v>
      </x:c>
      <x:c r="D134" s="8" t="n">
        <x:v>0</x:v>
      </x:c>
      <x:c r="E134" s="8" t="n">
        <x:v>0</x:v>
      </x:c>
      <x:c r="F134" s="8" t="n">
        <x:f>E134-D134</x:f>
        <x:v>0</x:v>
      </x:c>
      <x:c r="G134" s="9" t="str">
        <x:f>IF(D134=0,"n.a.",F134/D134)</x:f>
        <x:v>n.a.</x:v>
      </x:c>
      <x:c r="H134" s="9" t="n">
        <x:f>D134/SUMIFS($D$6:$D$449,$A$6:$A$449,A134,$B$6:$B$449,B134)</x:f>
        <x:v>0</x:v>
      </x:c>
      <x:c r="I134" s="9" t="n">
        <x:f>E134/SUMIFS($E$6:$E$449,$A$6:$A$449,A134,$B$6:$B$449,B134)</x:f>
        <x:v>0</x:v>
      </x:c>
      <x:c r="J134" s="10" t="n">
        <x:f>(I134-H134)*100</x:f>
        <x:v>0</x:v>
      </x:c>
      <x:c r="K134" s="2"/>
      <x:c r="L134" s="2"/>
      <x:c r="M134" s="2" t="str">
        <x:f>IF(OR(K134="",L134=""),"n.a.",K134-L134)</x:f>
        <x:v>n.a.</x:v>
      </x:c>
    </x:row>
    <x:row r="135" ht="22" customHeight="1">
      <x:c r="A135" s="2" t="str">
        <x:v>全样本</x:v>
      </x:c>
      <x:c r="B135" s="2" t="str">
        <x:v>FY2025</x:v>
      </x:c>
      <x:c r="C135" s="2" t="str">
        <x:v>哪吒汽车</x:v>
      </x:c>
      <x:c r="D135" s="8" t="n">
        <x:v>6921</x:v>
      </x:c>
      <x:c r="E135" s="8" t="n">
        <x:v>0</x:v>
      </x:c>
      <x:c r="F135" s="8" t="n">
        <x:f>E135-D135</x:f>
        <x:v>-6921</x:v>
      </x:c>
      <x:c r="G135" s="9" t="n">
        <x:f>IF(D135=0,"n.a.",F135/D135)</x:f>
        <x:v>-1</x:v>
      </x:c>
      <x:c r="H135" s="9" t="n">
        <x:f>D135/SUMIFS($D$6:$D$449,$A$6:$A$449,A135,$B$6:$B$449,B135)</x:f>
        <x:v>0.0004070978668918792</x:v>
      </x:c>
      <x:c r="I135" s="9" t="n">
        <x:f>E135/SUMIFS($E$6:$E$449,$A$6:$A$449,A135,$B$6:$B$449,B135)</x:f>
        <x:v>0</x:v>
      </x:c>
      <x:c r="J135" s="10" t="n">
        <x:f>(I135-H135)*100</x:f>
        <x:v>-0.04070978668918792</x:v>
      </x:c>
      <x:c r="K135" s="2" t="n">
        <x:v>68</x:v>
      </x:c>
      <x:c r="L135" s="2"/>
      <x:c r="M135" s="2" t="str">
        <x:f>IF(OR(K135="",L135=""),"n.a.",K135-L135)</x:f>
        <x:v>n.a.</x:v>
      </x:c>
    </x:row>
    <x:row r="136" ht="22" customHeight="1">
      <x:c r="A136" s="2" t="str">
        <x:v>全样本</x:v>
      </x:c>
      <x:c r="B136" s="2" t="str">
        <x:v>FY2025</x:v>
      </x:c>
      <x:c r="C136" s="2" t="str">
        <x:v>欧朗</x:v>
      </x:c>
      <x:c r="D136" s="8" t="n">
        <x:v>0</x:v>
      </x:c>
      <x:c r="E136" s="8" t="n">
        <x:v>0</x:v>
      </x:c>
      <x:c r="F136" s="8" t="n">
        <x:f>E136-D136</x:f>
        <x:v>0</x:v>
      </x:c>
      <x:c r="G136" s="9" t="str">
        <x:f>IF(D136=0,"n.a.",F136/D136)</x:f>
        <x:v>n.a.</x:v>
      </x:c>
      <x:c r="H136" s="9" t="n">
        <x:f>D136/SUMIFS($D$6:$D$449,$A$6:$A$449,A136,$B$6:$B$449,B136)</x:f>
        <x:v>0</x:v>
      </x:c>
      <x:c r="I136" s="9" t="n">
        <x:f>E136/SUMIFS($E$6:$E$449,$A$6:$A$449,A136,$B$6:$B$449,B136)</x:f>
        <x:v>0</x:v>
      </x:c>
      <x:c r="J136" s="10" t="n">
        <x:f>(I136-H136)*100</x:f>
        <x:v>0</x:v>
      </x:c>
      <x:c r="K136" s="2"/>
      <x:c r="L136" s="2"/>
      <x:c r="M136" s="2" t="str">
        <x:f>IF(OR(K136="",L136=""),"n.a.",K136-L136)</x:f>
        <x:v>n.a.</x:v>
      </x:c>
    </x:row>
    <x:row r="137" ht="22" customHeight="1">
      <x:c r="A137" s="2" t="str">
        <x:v>全样本</x:v>
      </x:c>
      <x:c r="B137" s="2" t="str">
        <x:v>FY2025</x:v>
      </x:c>
      <x:c r="C137" s="2" t="str">
        <x:v>英菲尼迪</x:v>
      </x:c>
      <x:c r="D137" s="8" t="n">
        <x:v>0</x:v>
      </x:c>
      <x:c r="E137" s="8" t="n">
        <x:v>0</x:v>
      </x:c>
      <x:c r="F137" s="8" t="n">
        <x:f>E137-D137</x:f>
        <x:v>0</x:v>
      </x:c>
      <x:c r="G137" s="9" t="str">
        <x:f>IF(D137=0,"n.a.",F137/D137)</x:f>
        <x:v>n.a.</x:v>
      </x:c>
      <x:c r="H137" s="9" t="n">
        <x:f>D137/SUMIFS($D$6:$D$449,$A$6:$A$449,A137,$B$6:$B$449,B137)</x:f>
        <x:v>0</x:v>
      </x:c>
      <x:c r="I137" s="9" t="n">
        <x:f>E137/SUMIFS($E$6:$E$449,$A$6:$A$449,A137,$B$6:$B$449,B137)</x:f>
        <x:v>0</x:v>
      </x:c>
      <x:c r="J137" s="10" t="n">
        <x:f>(I137-H137)*100</x:f>
        <x:v>0</x:v>
      </x:c>
      <x:c r="K137" s="2"/>
      <x:c r="L137" s="2"/>
      <x:c r="M137" s="2" t="str">
        <x:f>IF(OR(K137="",L137=""),"n.a.",K137-L137)</x:f>
        <x:v>n.a.</x:v>
      </x:c>
    </x:row>
    <x:row r="138" ht="22" customHeight="1">
      <x:c r="A138" s="2" t="str">
        <x:v>全样本</x:v>
      </x:c>
      <x:c r="B138" s="2" t="str">
        <x:v>FY2025</x:v>
      </x:c>
      <x:c r="C138" s="2" t="str">
        <x:v>纳智捷</x:v>
      </x:c>
      <x:c r="D138" s="8" t="n">
        <x:v>0</x:v>
      </x:c>
      <x:c r="E138" s="8" t="n">
        <x:v>0</x:v>
      </x:c>
      <x:c r="F138" s="8" t="n">
        <x:f>E138-D138</x:f>
        <x:v>0</x:v>
      </x:c>
      <x:c r="G138" s="9" t="str">
        <x:f>IF(D138=0,"n.a.",F138/D138)</x:f>
        <x:v>n.a.</x:v>
      </x:c>
      <x:c r="H138" s="9" t="n">
        <x:f>D138/SUMIFS($D$6:$D$449,$A$6:$A$449,A138,$B$6:$B$449,B138)</x:f>
        <x:v>0</x:v>
      </x:c>
      <x:c r="I138" s="9" t="n">
        <x:f>E138/SUMIFS($E$6:$E$449,$A$6:$A$449,A138,$B$6:$B$449,B138)</x:f>
        <x:v>0</x:v>
      </x:c>
      <x:c r="J138" s="10" t="n">
        <x:f>(I138-H138)*100</x:f>
        <x:v>0</x:v>
      </x:c>
      <x:c r="K138" s="2"/>
      <x:c r="L138" s="2"/>
      <x:c r="M138" s="2" t="str">
        <x:f>IF(OR(K138="",L138=""),"n.a.",K138-L138)</x:f>
        <x:v>n.a.</x:v>
      </x:c>
    </x:row>
    <x:row r="139" ht="22" customHeight="1">
      <x:c r="A139" s="2" t="str">
        <x:v>全样本</x:v>
      </x:c>
      <x:c r="B139" s="2" t="str">
        <x:v>FY2025</x:v>
      </x:c>
      <x:c r="C139" s="2" t="str">
        <x:v>英致</x:v>
      </x:c>
      <x:c r="D139" s="8" t="n">
        <x:v>0</x:v>
      </x:c>
      <x:c r="E139" s="8" t="n">
        <x:v>0</x:v>
      </x:c>
      <x:c r="F139" s="8" t="n">
        <x:f>E139-D139</x:f>
        <x:v>0</x:v>
      </x:c>
      <x:c r="G139" s="9" t="str">
        <x:f>IF(D139=0,"n.a.",F139/D139)</x:f>
        <x:v>n.a.</x:v>
      </x:c>
      <x:c r="H139" s="9" t="n">
        <x:f>D139/SUMIFS($D$6:$D$449,$A$6:$A$449,A139,$B$6:$B$449,B139)</x:f>
        <x:v>0</x:v>
      </x:c>
      <x:c r="I139" s="9" t="n">
        <x:f>E139/SUMIFS($E$6:$E$449,$A$6:$A$449,A139,$B$6:$B$449,B139)</x:f>
        <x:v>0</x:v>
      </x:c>
      <x:c r="J139" s="10" t="n">
        <x:f>(I139-H139)*100</x:f>
        <x:v>0</x:v>
      </x:c>
      <x:c r="K139" s="2"/>
      <x:c r="L139" s="2"/>
      <x:c r="M139" s="2" t="str">
        <x:f>IF(OR(K139="",L139=""),"n.a.",K139-L139)</x:f>
        <x:v>n.a.</x:v>
      </x:c>
    </x:row>
    <x:row r="140" ht="22" customHeight="1">
      <x:c r="A140" s="2" t="str">
        <x:v>全样本</x:v>
      </x:c>
      <x:c r="B140" s="2" t="str">
        <x:v>FY2025</x:v>
      </x:c>
      <x:c r="C140" s="2" t="str">
        <x:v>知豆</x:v>
      </x:c>
      <x:c r="D140" s="8" t="n">
        <x:v>0</x:v>
      </x:c>
      <x:c r="E140" s="8" t="n">
        <x:v>0</x:v>
      </x:c>
      <x:c r="F140" s="8" t="n">
        <x:f>E140-D140</x:f>
        <x:v>0</x:v>
      </x:c>
      <x:c r="G140" s="9" t="str">
        <x:f>IF(D140=0,"n.a.",F140/D140)</x:f>
        <x:v>n.a.</x:v>
      </x:c>
      <x:c r="H140" s="9" t="n">
        <x:f>D140/SUMIFS($D$6:$D$449,$A$6:$A$449,A140,$B$6:$B$449,B140)</x:f>
        <x:v>0</x:v>
      </x:c>
      <x:c r="I140" s="9" t="n">
        <x:f>E140/SUMIFS($E$6:$E$449,$A$6:$A$449,A140,$B$6:$B$449,B140)</x:f>
        <x:v>0</x:v>
      </x:c>
      <x:c r="J140" s="10" t="n">
        <x:f>(I140-H140)*100</x:f>
        <x:v>0</x:v>
      </x:c>
      <x:c r="K140" s="2"/>
      <x:c r="L140" s="2"/>
      <x:c r="M140" s="2" t="str">
        <x:f>IF(OR(K140="",L140=""),"n.a.",K140-L140)</x:f>
        <x:v>n.a.</x:v>
      </x:c>
    </x:row>
    <x:row r="141" ht="22" customHeight="1">
      <x:c r="A141" s="2" t="str">
        <x:v>全样本</x:v>
      </x:c>
      <x:c r="B141" s="2" t="str">
        <x:v>FY2025</x:v>
      </x:c>
      <x:c r="C141" s="2" t="str">
        <x:v>瑞驰新能源</x:v>
      </x:c>
      <x:c r="D141" s="8" t="n">
        <x:v>0</x:v>
      </x:c>
      <x:c r="E141" s="8" t="n">
        <x:v>0</x:v>
      </x:c>
      <x:c r="F141" s="8" t="n">
        <x:f>E141-D141</x:f>
        <x:v>0</x:v>
      </x:c>
      <x:c r="G141" s="9" t="str">
        <x:f>IF(D141=0,"n.a.",F141/D141)</x:f>
        <x:v>n.a.</x:v>
      </x:c>
      <x:c r="H141" s="9" t="n">
        <x:f>D141/SUMIFS($D$6:$D$449,$A$6:$A$449,A141,$B$6:$B$449,B141)</x:f>
        <x:v>0</x:v>
      </x:c>
      <x:c r="I141" s="9" t="n">
        <x:f>E141/SUMIFS($E$6:$E$449,$A$6:$A$449,A141,$B$6:$B$449,B141)</x:f>
        <x:v>0</x:v>
      </x:c>
      <x:c r="J141" s="10" t="n">
        <x:f>(I141-H141)*100</x:f>
        <x:v>0</x:v>
      </x:c>
      <x:c r="K141" s="2"/>
      <x:c r="L141" s="2"/>
      <x:c r="M141" s="2" t="str">
        <x:f>IF(OR(K141="",L141=""),"n.a.",K141-L141)</x:f>
        <x:v>n.a.</x:v>
      </x:c>
    </x:row>
    <x:row r="142" ht="22" customHeight="1">
      <x:c r="A142" s="2" t="str">
        <x:v>全样本</x:v>
      </x:c>
      <x:c r="B142" s="2" t="str">
        <x:v>FY2025</x:v>
      </x:c>
      <x:c r="C142" s="2" t="str">
        <x:v>瑞麒</x:v>
      </x:c>
      <x:c r="D142" s="8" t="n">
        <x:v>0</x:v>
      </x:c>
      <x:c r="E142" s="8" t="n">
        <x:v>0</x:v>
      </x:c>
      <x:c r="F142" s="8" t="n">
        <x:f>E142-D142</x:f>
        <x:v>0</x:v>
      </x:c>
      <x:c r="G142" s="9" t="str">
        <x:f>IF(D142=0,"n.a.",F142/D142)</x:f>
        <x:v>n.a.</x:v>
      </x:c>
      <x:c r="H142" s="9" t="n">
        <x:f>D142/SUMIFS($D$6:$D$449,$A$6:$A$449,A142,$B$6:$B$449,B142)</x:f>
        <x:v>0</x:v>
      </x:c>
      <x:c r="I142" s="9" t="n">
        <x:f>E142/SUMIFS($E$6:$E$449,$A$6:$A$449,A142,$B$6:$B$449,B142)</x:f>
        <x:v>0</x:v>
      </x:c>
      <x:c r="J142" s="10" t="n">
        <x:f>(I142-H142)*100</x:f>
        <x:v>0</x:v>
      </x:c>
      <x:c r="K142" s="2"/>
      <x:c r="L142" s="2"/>
      <x:c r="M142" s="2" t="str">
        <x:f>IF(OR(K142="",L142=""),"n.a.",K142-L142)</x:f>
        <x:v>n.a.</x:v>
      </x:c>
    </x:row>
    <x:row r="143" ht="22" customHeight="1">
      <x:c r="A143" s="2" t="str">
        <x:v>全样本</x:v>
      </x:c>
      <x:c r="B143" s="2" t="str">
        <x:v>FY2025</x:v>
      </x:c>
      <x:c r="C143" s="2" t="str">
        <x:v>福田</x:v>
      </x:c>
      <x:c r="D143" s="8" t="n">
        <x:v>0</x:v>
      </x:c>
      <x:c r="E143" s="8" t="n">
        <x:v>0</x:v>
      </x:c>
      <x:c r="F143" s="8" t="n">
        <x:f>E143-D143</x:f>
        <x:v>0</x:v>
      </x:c>
      <x:c r="G143" s="9" t="str">
        <x:f>IF(D143=0,"n.a.",F143/D143)</x:f>
        <x:v>n.a.</x:v>
      </x:c>
      <x:c r="H143" s="9" t="n">
        <x:f>D143/SUMIFS($D$6:$D$449,$A$6:$A$449,A143,$B$6:$B$449,B143)</x:f>
        <x:v>0</x:v>
      </x:c>
      <x:c r="I143" s="9" t="n">
        <x:f>E143/SUMIFS($E$6:$E$449,$A$6:$A$449,A143,$B$6:$B$449,B143)</x:f>
        <x:v>0</x:v>
      </x:c>
      <x:c r="J143" s="10" t="n">
        <x:f>(I143-H143)*100</x:f>
        <x:v>0</x:v>
      </x:c>
      <x:c r="K143" s="2"/>
      <x:c r="L143" s="2"/>
      <x:c r="M143" s="2" t="str">
        <x:f>IF(OR(K143="",L143=""),"n.a.",K143-L143)</x:f>
        <x:v>n.a.</x:v>
      </x:c>
    </x:row>
    <x:row r="144" ht="22" customHeight="1">
      <x:c r="A144" s="2" t="str">
        <x:v>全样本</x:v>
      </x:c>
      <x:c r="B144" s="2" t="str">
        <x:v>FY2025</x:v>
      </x:c>
      <x:c r="C144" s="2" t="str">
        <x:v>理念</x:v>
      </x:c>
      <x:c r="D144" s="8" t="n">
        <x:v>0</x:v>
      </x:c>
      <x:c r="E144" s="8" t="n">
        <x:v>0</x:v>
      </x:c>
      <x:c r="F144" s="8" t="n">
        <x:f>E144-D144</x:f>
        <x:v>0</x:v>
      </x:c>
      <x:c r="G144" s="9" t="str">
        <x:f>IF(D144=0,"n.a.",F144/D144)</x:f>
        <x:v>n.a.</x:v>
      </x:c>
      <x:c r="H144" s="9" t="n">
        <x:f>D144/SUMIFS($D$6:$D$449,$A$6:$A$449,A144,$B$6:$B$449,B144)</x:f>
        <x:v>0</x:v>
      </x:c>
      <x:c r="I144" s="9" t="n">
        <x:f>E144/SUMIFS($E$6:$E$449,$A$6:$A$449,A144,$B$6:$B$449,B144)</x:f>
        <x:v>0</x:v>
      </x:c>
      <x:c r="J144" s="10" t="n">
        <x:f>(I144-H144)*100</x:f>
        <x:v>0</x:v>
      </x:c>
      <x:c r="K144" s="2"/>
      <x:c r="L144" s="2"/>
      <x:c r="M144" s="2" t="str">
        <x:f>IF(OR(K144="",L144=""),"n.a.",K144-L144)</x:f>
        <x:v>n.a.</x:v>
      </x:c>
    </x:row>
    <x:row r="145" ht="22" customHeight="1">
      <x:c r="A145" s="2" t="str">
        <x:v>全样本</x:v>
      </x:c>
      <x:c r="B145" s="2" t="str">
        <x:v>FY2025</x:v>
      </x:c>
      <x:c r="C145" s="2" t="str">
        <x:v>比速汽车</x:v>
      </x:c>
      <x:c r="D145" s="8" t="n">
        <x:v>0</x:v>
      </x:c>
      <x:c r="E145" s="8" t="n">
        <x:v>0</x:v>
      </x:c>
      <x:c r="F145" s="8" t="n">
        <x:f>E145-D145</x:f>
        <x:v>0</x:v>
      </x:c>
      <x:c r="G145" s="9" t="str">
        <x:f>IF(D145=0,"n.a.",F145/D145)</x:f>
        <x:v>n.a.</x:v>
      </x:c>
      <x:c r="H145" s="9" t="n">
        <x:f>D145/SUMIFS($D$6:$D$449,$A$6:$A$449,A145,$B$6:$B$449,B145)</x:f>
        <x:v>0</x:v>
      </x:c>
      <x:c r="I145" s="9" t="n">
        <x:f>E145/SUMIFS($E$6:$E$449,$A$6:$A$449,A145,$B$6:$B$449,B145)</x:f>
        <x:v>0</x:v>
      </x:c>
      <x:c r="J145" s="10" t="n">
        <x:f>(I145-H145)*100</x:f>
        <x:v>0</x:v>
      </x:c>
      <x:c r="K145" s="2"/>
      <x:c r="L145" s="2"/>
      <x:c r="M145" s="2" t="str">
        <x:f>IF(OR(K145="",L145=""),"n.a.",K145-L145)</x:f>
        <x:v>n.a.</x:v>
      </x:c>
    </x:row>
    <x:row r="146" ht="22" customHeight="1">
      <x:c r="A146" s="2" t="str">
        <x:v>全样本</x:v>
      </x:c>
      <x:c r="B146" s="2" t="str">
        <x:v>FY2025</x:v>
      </x:c>
      <x:c r="C146" s="2" t="str">
        <x:v>永源</x:v>
      </x:c>
      <x:c r="D146" s="8" t="n">
        <x:v>0</x:v>
      </x:c>
      <x:c r="E146" s="8" t="n">
        <x:v>0</x:v>
      </x:c>
      <x:c r="F146" s="8" t="n">
        <x:f>E146-D146</x:f>
        <x:v>0</x:v>
      </x:c>
      <x:c r="G146" s="9" t="str">
        <x:f>IF(D146=0,"n.a.",F146/D146)</x:f>
        <x:v>n.a.</x:v>
      </x:c>
      <x:c r="H146" s="9" t="n">
        <x:f>D146/SUMIFS($D$6:$D$449,$A$6:$A$449,A146,$B$6:$B$449,B146)</x:f>
        <x:v>0</x:v>
      </x:c>
      <x:c r="I146" s="9" t="n">
        <x:f>E146/SUMIFS($E$6:$E$449,$A$6:$A$449,A146,$B$6:$B$449,B146)</x:f>
        <x:v>0</x:v>
      </x:c>
      <x:c r="J146" s="10" t="n">
        <x:f>(I146-H146)*100</x:f>
        <x:v>0</x:v>
      </x:c>
      <x:c r="K146" s="2"/>
      <x:c r="L146" s="2"/>
      <x:c r="M146" s="2" t="str">
        <x:f>IF(OR(K146="",L146=""),"n.a.",K146-L146)</x:f>
        <x:v>n.a.</x:v>
      </x:c>
    </x:row>
    <x:row r="147" ht="22" customHeight="1">
      <x:c r="A147" s="2" t="str">
        <x:v>全样本</x:v>
      </x:c>
      <x:c r="B147" s="2" t="str">
        <x:v>FY2025</x:v>
      </x:c>
      <x:c r="C147" s="2" t="str">
        <x:v>汉腾</x:v>
      </x:c>
      <x:c r="D147" s="8" t="n">
        <x:v>0</x:v>
      </x:c>
      <x:c r="E147" s="8" t="n">
        <x:v>0</x:v>
      </x:c>
      <x:c r="F147" s="8" t="n">
        <x:f>E147-D147</x:f>
        <x:v>0</x:v>
      </x:c>
      <x:c r="G147" s="9" t="str">
        <x:f>IF(D147=0,"n.a.",F147/D147)</x:f>
        <x:v>n.a.</x:v>
      </x:c>
      <x:c r="H147" s="9" t="n">
        <x:f>D147/SUMIFS($D$6:$D$449,$A$6:$A$449,A147,$B$6:$B$449,B147)</x:f>
        <x:v>0</x:v>
      </x:c>
      <x:c r="I147" s="9" t="n">
        <x:f>E147/SUMIFS($E$6:$E$449,$A$6:$A$449,A147,$B$6:$B$449,B147)</x:f>
        <x:v>0</x:v>
      </x:c>
      <x:c r="J147" s="10" t="n">
        <x:f>(I147-H147)*100</x:f>
        <x:v>0</x:v>
      </x:c>
      <x:c r="K147" s="2"/>
      <x:c r="L147" s="2"/>
      <x:c r="M147" s="2" t="str">
        <x:f>IF(OR(K147="",L147=""),"n.a.",K147-L147)</x:f>
        <x:v>n.a.</x:v>
      </x:c>
    </x:row>
    <x:row r="148" ht="22" customHeight="1">
      <x:c r="A148" s="2" t="str">
        <x:v>全样本</x:v>
      </x:c>
      <x:c r="B148" s="2" t="str">
        <x:v>FY2025</x:v>
      </x:c>
      <x:c r="C148" s="2" t="str">
        <x:v>江铃集团新能源</x:v>
      </x:c>
      <x:c r="D148" s="8" t="n">
        <x:v>0</x:v>
      </x:c>
      <x:c r="E148" s="8" t="n">
        <x:v>0</x:v>
      </x:c>
      <x:c r="F148" s="8" t="n">
        <x:f>E148-D148</x:f>
        <x:v>0</x:v>
      </x:c>
      <x:c r="G148" s="9" t="str">
        <x:f>IF(D148=0,"n.a.",F148/D148)</x:f>
        <x:v>n.a.</x:v>
      </x:c>
      <x:c r="H148" s="9" t="n">
        <x:f>D148/SUMIFS($D$6:$D$449,$A$6:$A$449,A148,$B$6:$B$449,B148)</x:f>
        <x:v>0</x:v>
      </x:c>
      <x:c r="I148" s="9" t="n">
        <x:f>E148/SUMIFS($E$6:$E$449,$A$6:$A$449,A148,$B$6:$B$449,B148)</x:f>
        <x:v>0</x:v>
      </x:c>
      <x:c r="J148" s="10" t="n">
        <x:f>(I148-H148)*100</x:f>
        <x:v>0</x:v>
      </x:c>
      <x:c r="K148" s="2"/>
      <x:c r="L148" s="2"/>
      <x:c r="M148" s="2" t="str">
        <x:f>IF(OR(K148="",L148=""),"n.a.",K148-L148)</x:f>
        <x:v>n.a.</x:v>
      </x:c>
    </x:row>
    <x:row r="149" ht="22" customHeight="1">
      <x:c r="A149" s="2" t="str">
        <x:v>全样本</x:v>
      </x:c>
      <x:c r="B149" s="2" t="str">
        <x:v>FY2025</x:v>
      </x:c>
      <x:c r="C149" s="2" t="str">
        <x:v>猎豹汽车</x:v>
      </x:c>
      <x:c r="D149" s="8" t="n">
        <x:v>0</x:v>
      </x:c>
      <x:c r="E149" s="8" t="n">
        <x:v>0</x:v>
      </x:c>
      <x:c r="F149" s="8" t="n">
        <x:f>E149-D149</x:f>
        <x:v>0</x:v>
      </x:c>
      <x:c r="G149" s="9" t="str">
        <x:f>IF(D149=0,"n.a.",F149/D149)</x:f>
        <x:v>n.a.</x:v>
      </x:c>
      <x:c r="H149" s="9" t="n">
        <x:f>D149/SUMIFS($D$6:$D$449,$A$6:$A$449,A149,$B$6:$B$449,B149)</x:f>
        <x:v>0</x:v>
      </x:c>
      <x:c r="I149" s="9" t="n">
        <x:f>E149/SUMIFS($E$6:$E$449,$A$6:$A$449,A149,$B$6:$B$449,B149)</x:f>
        <x:v>0</x:v>
      </x:c>
      <x:c r="J149" s="10" t="n">
        <x:f>(I149-H149)*100</x:f>
        <x:v>0</x:v>
      </x:c>
      <x:c r="K149" s="2"/>
      <x:c r="L149" s="2"/>
      <x:c r="M149" s="2" t="str">
        <x:f>IF(OR(K149="",L149=""),"n.a.",K149-L149)</x:f>
        <x:v>n.a.</x:v>
      </x:c>
    </x:row>
    <x:row r="150" ht="22" customHeight="1">
      <x:c r="A150" s="2" t="str">
        <x:v>全样本</x:v>
      </x:c>
      <x:c r="B150" s="2" t="str">
        <x:v>FY2025</x:v>
      </x:c>
      <x:c r="C150" s="2" t="str">
        <x:v>海马新能源</x:v>
      </x:c>
      <x:c r="D150" s="8" t="n">
        <x:v>0</x:v>
      </x:c>
      <x:c r="E150" s="8" t="n">
        <x:v>0</x:v>
      </x:c>
      <x:c r="F150" s="8" t="n">
        <x:f>E150-D150</x:f>
        <x:v>0</x:v>
      </x:c>
      <x:c r="G150" s="9" t="str">
        <x:f>IF(D150=0,"n.a.",F150/D150)</x:f>
        <x:v>n.a.</x:v>
      </x:c>
      <x:c r="H150" s="9" t="n">
        <x:f>D150/SUMIFS($D$6:$D$449,$A$6:$A$449,A150,$B$6:$B$449,B150)</x:f>
        <x:v>0</x:v>
      </x:c>
      <x:c r="I150" s="9" t="n">
        <x:f>E150/SUMIFS($E$6:$E$449,$A$6:$A$449,A150,$B$6:$B$449,B150)</x:f>
        <x:v>0</x:v>
      </x:c>
      <x:c r="J150" s="10" t="n">
        <x:f>(I150-H150)*100</x:f>
        <x:v>0</x:v>
      </x:c>
      <x:c r="K150" s="2"/>
      <x:c r="L150" s="2"/>
      <x:c r="M150" s="2" t="str">
        <x:f>IF(OR(K150="",L150=""),"n.a.",K150-L150)</x:f>
        <x:v>n.a.</x:v>
      </x:c>
    </x:row>
    <x:row r="151" ht="22" customHeight="1">
      <x:c r="A151" s="2" t="str">
        <x:v>全样本</x:v>
      </x:c>
      <x:c r="B151" s="2" t="str">
        <x:v>FY2025</x:v>
      </x:c>
      <x:c r="C151" s="2" t="str">
        <x:v>电咖</x:v>
      </x:c>
      <x:c r="D151" s="8" t="n">
        <x:v>0</x:v>
      </x:c>
      <x:c r="E151" s="8" t="n">
        <x:v>0</x:v>
      </x:c>
      <x:c r="F151" s="8" t="n">
        <x:f>E151-D151</x:f>
        <x:v>0</x:v>
      </x:c>
      <x:c r="G151" s="9" t="str">
        <x:f>IF(D151=0,"n.a.",F151/D151)</x:f>
        <x:v>n.a.</x:v>
      </x:c>
      <x:c r="H151" s="9" t="n">
        <x:f>D151/SUMIFS($D$6:$D$449,$A$6:$A$449,A151,$B$6:$B$449,B151)</x:f>
        <x:v>0</x:v>
      </x:c>
      <x:c r="I151" s="9" t="n">
        <x:f>E151/SUMIFS($E$6:$E$449,$A$6:$A$449,A151,$B$6:$B$449,B151)</x:f>
        <x:v>0</x:v>
      </x:c>
      <x:c r="J151" s="10" t="n">
        <x:f>(I151-H151)*100</x:f>
        <x:v>0</x:v>
      </x:c>
      <x:c r="K151" s="2"/>
      <x:c r="L151" s="2"/>
      <x:c r="M151" s="2" t="str">
        <x:f>IF(OR(K151="",L151=""),"n.a.",K151-L151)</x:f>
        <x:v>n.a.</x:v>
      </x:c>
    </x:row>
    <x:row r="152" ht="22" customHeight="1">
      <x:c r="A152" s="2" t="str">
        <x:v>全样本</x:v>
      </x:c>
      <x:c r="B152" s="2" t="str">
        <x:v>FY2025</x:v>
      </x:c>
      <x:c r="C152" s="2" t="str">
        <x:v>长城</x:v>
      </x:c>
      <x:c r="D152" s="8" t="n">
        <x:v>0</x:v>
      </x:c>
      <x:c r="E152" s="8" t="n">
        <x:v>0</x:v>
      </x:c>
      <x:c r="F152" s="8" t="n">
        <x:f>E152-D152</x:f>
        <x:v>0</x:v>
      </x:c>
      <x:c r="G152" s="9" t="str">
        <x:f>IF(D152=0,"n.a.",F152/D152)</x:f>
        <x:v>n.a.</x:v>
      </x:c>
      <x:c r="H152" s="9" t="n">
        <x:f>D152/SUMIFS($D$6:$D$449,$A$6:$A$449,A152,$B$6:$B$449,B152)</x:f>
        <x:v>0</x:v>
      </x:c>
      <x:c r="I152" s="9" t="n">
        <x:f>E152/SUMIFS($E$6:$E$449,$A$6:$A$449,A152,$B$6:$B$449,B152)</x:f>
        <x:v>0</x:v>
      </x:c>
      <x:c r="J152" s="10" t="n">
        <x:f>(I152-H152)*100</x:f>
        <x:v>0</x:v>
      </x:c>
      <x:c r="K152" s="2"/>
      <x:c r="L152" s="2"/>
      <x:c r="M152" s="2" t="str">
        <x:f>IF(OR(K152="",L152=""),"n.a.",K152-L152)</x:f>
        <x:v>n.a.</x:v>
      </x:c>
    </x:row>
    <x:row r="153" ht="22" customHeight="1">
      <x:c r="A153" s="2" t="str">
        <x:v>全样本</x:v>
      </x:c>
      <x:c r="B153" s="2" t="str">
        <x:v>FY2025</x:v>
      </x:c>
      <x:c r="C153" s="2" t="str">
        <x:v>野马汽车</x:v>
      </x:c>
      <x:c r="D153" s="8" t="n">
        <x:v>0</x:v>
      </x:c>
      <x:c r="E153" s="8" t="n">
        <x:v>0</x:v>
      </x:c>
      <x:c r="F153" s="8" t="n">
        <x:f>E153-D153</x:f>
        <x:v>0</x:v>
      </x:c>
      <x:c r="G153" s="9" t="str">
        <x:f>IF(D153=0,"n.a.",F153/D153)</x:f>
        <x:v>n.a.</x:v>
      </x:c>
      <x:c r="H153" s="9" t="n">
        <x:f>D153/SUMIFS($D$6:$D$449,$A$6:$A$449,A153,$B$6:$B$449,B153)</x:f>
        <x:v>0</x:v>
      </x:c>
      <x:c r="I153" s="9" t="n">
        <x:f>E153/SUMIFS($E$6:$E$449,$A$6:$A$449,A153,$B$6:$B$449,B153)</x:f>
        <x:v>0</x:v>
      </x:c>
      <x:c r="J153" s="10" t="n">
        <x:f>(I153-H153)*100</x:f>
        <x:v>0</x:v>
      </x:c>
      <x:c r="K153" s="2"/>
      <x:c r="L153" s="2"/>
      <x:c r="M153" s="2" t="str">
        <x:f>IF(OR(K153="",L153=""),"n.a.",K153-L153)</x:f>
        <x:v>n.a.</x:v>
      </x:c>
    </x:row>
    <x:row r="154" ht="22" customHeight="1">
      <x:c r="A154" s="2" t="str">
        <x:v>全样本</x:v>
      </x:c>
      <x:c r="B154" s="2" t="str">
        <x:v>FY2025</x:v>
      </x:c>
      <x:c r="C154" s="2" t="str">
        <x:v>金杯</x:v>
      </x:c>
      <x:c r="D154" s="8" t="n">
        <x:v>0</x:v>
      </x:c>
      <x:c r="E154" s="8" t="n">
        <x:v>0</x:v>
      </x:c>
      <x:c r="F154" s="8" t="n">
        <x:f>E154-D154</x:f>
        <x:v>0</x:v>
      </x:c>
      <x:c r="G154" s="9" t="str">
        <x:f>IF(D154=0,"n.a.",F154/D154)</x:f>
        <x:v>n.a.</x:v>
      </x:c>
      <x:c r="H154" s="9" t="n">
        <x:f>D154/SUMIFS($D$6:$D$449,$A$6:$A$449,A154,$B$6:$B$449,B154)</x:f>
        <x:v>0</x:v>
      </x:c>
      <x:c r="I154" s="9" t="n">
        <x:f>E154/SUMIFS($E$6:$E$449,$A$6:$A$449,A154,$B$6:$B$449,B154)</x:f>
        <x:v>0</x:v>
      </x:c>
      <x:c r="J154" s="10" t="n">
        <x:f>(I154-H154)*100</x:f>
        <x:v>0</x:v>
      </x:c>
      <x:c r="K154" s="2"/>
      <x:c r="L154" s="2"/>
      <x:c r="M154" s="2" t="str">
        <x:f>IF(OR(K154="",L154=""),"n.a.",K154-L154)</x:f>
        <x:v>n.a.</x:v>
      </x:c>
    </x:row>
    <x:row r="155" ht="22" customHeight="1">
      <x:c r="A155" s="2" t="str">
        <x:v>全样本</x:v>
      </x:c>
      <x:c r="B155" s="2" t="str">
        <x:v>FY2025</x:v>
      </x:c>
      <x:c r="C155" s="2" t="str">
        <x:v>铃木</x:v>
      </x:c>
      <x:c r="D155" s="8" t="n">
        <x:v>0</x:v>
      </x:c>
      <x:c r="E155" s="8" t="n">
        <x:v>0</x:v>
      </x:c>
      <x:c r="F155" s="8" t="n">
        <x:f>E155-D155</x:f>
        <x:v>0</x:v>
      </x:c>
      <x:c r="G155" s="9" t="str">
        <x:f>IF(D155=0,"n.a.",F155/D155)</x:f>
        <x:v>n.a.</x:v>
      </x:c>
      <x:c r="H155" s="9" t="n">
        <x:f>D155/SUMIFS($D$6:$D$449,$A$6:$A$449,A155,$B$6:$B$449,B155)</x:f>
        <x:v>0</x:v>
      </x:c>
      <x:c r="I155" s="9" t="n">
        <x:f>E155/SUMIFS($E$6:$E$449,$A$6:$A$449,A155,$B$6:$B$449,B155)</x:f>
        <x:v>0</x:v>
      </x:c>
      <x:c r="J155" s="10" t="n">
        <x:f>(I155-H155)*100</x:f>
        <x:v>0</x:v>
      </x:c>
      <x:c r="K155" s="2"/>
      <x:c r="L155" s="2"/>
      <x:c r="M155" s="2" t="str">
        <x:f>IF(OR(K155="",L155=""),"n.a.",K155-L155)</x:f>
        <x:v>n.a.</x:v>
      </x:c>
    </x:row>
    <x:row r="156" ht="22" customHeight="1">
      <x:c r="A156" s="2" t="str">
        <x:v>全样本</x:v>
      </x:c>
      <x:c r="B156" s="2" t="str">
        <x:v>FY2025</x:v>
      </x:c>
      <x:c r="C156" s="2" t="str">
        <x:v>路虎</x:v>
      </x:c>
      <x:c r="D156" s="8" t="n">
        <x:v>0</x:v>
      </x:c>
      <x:c r="E156" s="8" t="n">
        <x:v>0</x:v>
      </x:c>
      <x:c r="F156" s="8" t="n">
        <x:f>E156-D156</x:f>
        <x:v>0</x:v>
      </x:c>
      <x:c r="G156" s="9" t="str">
        <x:f>IF(D156=0,"n.a.",F156/D156)</x:f>
        <x:v>n.a.</x:v>
      </x:c>
      <x:c r="H156" s="9" t="n">
        <x:f>D156/SUMIFS($D$6:$D$449,$A$6:$A$449,A156,$B$6:$B$449,B156)</x:f>
        <x:v>0</x:v>
      </x:c>
      <x:c r="I156" s="9" t="n">
        <x:f>E156/SUMIFS($E$6:$E$449,$A$6:$A$449,A156,$B$6:$B$449,B156)</x:f>
        <x:v>0</x:v>
      </x:c>
      <x:c r="J156" s="10" t="n">
        <x:f>(I156-H156)*100</x:f>
        <x:v>0</x:v>
      </x:c>
      <x:c r="K156" s="2"/>
      <x:c r="L156" s="2"/>
      <x:c r="M156" s="2" t="str">
        <x:f>IF(OR(K156="",L156=""),"n.a.",K156-L156)</x:f>
        <x:v>n.a.</x:v>
      </x:c>
    </x:row>
    <x:row r="157" ht="22" customHeight="1">
      <x:c r="A157" s="2" t="str">
        <x:v>全样本</x:v>
      </x:c>
      <x:c r="B157" s="2" t="str">
        <x:v>FY2025</x:v>
      </x:c>
      <x:c r="C157" s="2" t="str">
        <x:v>裕路</x:v>
      </x:c>
      <x:c r="D157" s="8" t="n">
        <x:v>0</x:v>
      </x:c>
      <x:c r="E157" s="8" t="n">
        <x:v>0</x:v>
      </x:c>
      <x:c r="F157" s="8" t="n">
        <x:f>E157-D157</x:f>
        <x:v>0</x:v>
      </x:c>
      <x:c r="G157" s="9" t="str">
        <x:f>IF(D157=0,"n.a.",F157/D157)</x:f>
        <x:v>n.a.</x:v>
      </x:c>
      <x:c r="H157" s="9" t="n">
        <x:f>D157/SUMIFS($D$6:$D$449,$A$6:$A$449,A157,$B$6:$B$449,B157)</x:f>
        <x:v>0</x:v>
      </x:c>
      <x:c r="I157" s="9" t="n">
        <x:f>E157/SUMIFS($E$6:$E$449,$A$6:$A$449,A157,$B$6:$B$449,B157)</x:f>
        <x:v>0</x:v>
      </x:c>
      <x:c r="J157" s="10" t="n">
        <x:f>(I157-H157)*100</x:f>
        <x:v>0</x:v>
      </x:c>
      <x:c r="K157" s="2"/>
      <x:c r="L157" s="2"/>
      <x:c r="M157" s="2" t="str">
        <x:f>IF(OR(K157="",L157=""),"n.a.",K157-L157)</x:f>
        <x:v>n.a.</x:v>
      </x:c>
    </x:row>
    <x:row r="158" ht="22" customHeight="1">
      <x:c r="A158" s="2" t="str">
        <x:v>全样本</x:v>
      </x:c>
      <x:c r="B158" s="2" t="str">
        <x:v>FY2025</x:v>
      </x:c>
      <x:c r="C158" s="2" t="str">
        <x:v>观致</x:v>
      </x:c>
      <x:c r="D158" s="8" t="n">
        <x:v>0</x:v>
      </x:c>
      <x:c r="E158" s="8" t="n">
        <x:v>0</x:v>
      </x:c>
      <x:c r="F158" s="8" t="n">
        <x:f>E158-D158</x:f>
        <x:v>0</x:v>
      </x:c>
      <x:c r="G158" s="9" t="str">
        <x:f>IF(D158=0,"n.a.",F158/D158)</x:f>
        <x:v>n.a.</x:v>
      </x:c>
      <x:c r="H158" s="9" t="n">
        <x:f>D158/SUMIFS($D$6:$D$449,$A$6:$A$449,A158,$B$6:$B$449,B158)</x:f>
        <x:v>0</x:v>
      </x:c>
      <x:c r="I158" s="9" t="n">
        <x:f>E158/SUMIFS($E$6:$E$449,$A$6:$A$449,A158,$B$6:$B$449,B158)</x:f>
        <x:v>0</x:v>
      </x:c>
      <x:c r="J158" s="10" t="n">
        <x:f>(I158-H158)*100</x:f>
        <x:v>0</x:v>
      </x:c>
      <x:c r="K158" s="2"/>
      <x:c r="L158" s="2"/>
      <x:c r="M158" s="2" t="str">
        <x:f>IF(OR(K158="",L158=""),"n.a.",K158-L158)</x:f>
        <x:v>n.a.</x:v>
      </x:c>
    </x:row>
    <x:row r="159" ht="22" customHeight="1">
      <x:c r="A159" s="2" t="str">
        <x:v>全样本</x:v>
      </x:c>
      <x:c r="B159" s="2" t="str">
        <x:v>FY2025</x:v>
      </x:c>
      <x:c r="C159" s="2" t="str">
        <x:v>讴歌</x:v>
      </x:c>
      <x:c r="D159" s="8" t="n">
        <x:v>0</x:v>
      </x:c>
      <x:c r="E159" s="8" t="n">
        <x:v>0</x:v>
      </x:c>
      <x:c r="F159" s="8" t="n">
        <x:f>E159-D159</x:f>
        <x:v>0</x:v>
      </x:c>
      <x:c r="G159" s="9" t="str">
        <x:f>IF(D159=0,"n.a.",F159/D159)</x:f>
        <x:v>n.a.</x:v>
      </x:c>
      <x:c r="H159" s="9" t="n">
        <x:f>D159/SUMIFS($D$6:$D$449,$A$6:$A$449,A159,$B$6:$B$449,B159)</x:f>
        <x:v>0</x:v>
      </x:c>
      <x:c r="I159" s="9" t="n">
        <x:f>E159/SUMIFS($E$6:$E$449,$A$6:$A$449,A159,$B$6:$B$449,B159)</x:f>
        <x:v>0</x:v>
      </x:c>
      <x:c r="J159" s="10" t="n">
        <x:f>(I159-H159)*100</x:f>
        <x:v>0</x:v>
      </x:c>
      <x:c r="K159" s="2"/>
      <x:c r="L159" s="2"/>
      <x:c r="M159" s="2" t="str">
        <x:f>IF(OR(K159="",L159=""),"n.a.",K159-L159)</x:f>
        <x:v>n.a.</x:v>
      </x:c>
    </x:row>
    <x:row r="160" ht="22" customHeight="1">
      <x:c r="A160" s="2" t="str">
        <x:v>全样本</x:v>
      </x:c>
      <x:c r="B160" s="2" t="str">
        <x:v>FY2025</x:v>
      </x:c>
      <x:c r="C160" s="2" t="str">
        <x:v>莲花汽车</x:v>
      </x:c>
      <x:c r="D160" s="8" t="n">
        <x:v>0</x:v>
      </x:c>
      <x:c r="E160" s="8" t="n">
        <x:v>0</x:v>
      </x:c>
      <x:c r="F160" s="8" t="n">
        <x:f>E160-D160</x:f>
        <x:v>0</x:v>
      </x:c>
      <x:c r="G160" s="9" t="str">
        <x:f>IF(D160=0,"n.a.",F160/D160)</x:f>
        <x:v>n.a.</x:v>
      </x:c>
      <x:c r="H160" s="9" t="n">
        <x:f>D160/SUMIFS($D$6:$D$449,$A$6:$A$449,A160,$B$6:$B$449,B160)</x:f>
        <x:v>0</x:v>
      </x:c>
      <x:c r="I160" s="9" t="n">
        <x:f>E160/SUMIFS($E$6:$E$449,$A$6:$A$449,A160,$B$6:$B$449,B160)</x:f>
        <x:v>0</x:v>
      </x:c>
      <x:c r="J160" s="10" t="n">
        <x:f>(I160-H160)*100</x:f>
        <x:v>0</x:v>
      </x:c>
      <x:c r="K160" s="2"/>
      <x:c r="L160" s="2"/>
      <x:c r="M160" s="2" t="str">
        <x:f>IF(OR(K160="",L160=""),"n.a.",K160-L160)</x:f>
        <x:v>n.a.</x:v>
      </x:c>
    </x:row>
    <x:row r="161" ht="22" customHeight="1">
      <x:c r="A161" s="2" t="str">
        <x:v>全样本</x:v>
      </x:c>
      <x:c r="B161" s="2" t="str">
        <x:v>FY2025</x:v>
      </x:c>
      <x:c r="C161" s="2" t="str">
        <x:v>菲亚特</x:v>
      </x:c>
      <x:c r="D161" s="8" t="n">
        <x:v>0</x:v>
      </x:c>
      <x:c r="E161" s="8" t="n">
        <x:v>0</x:v>
      </x:c>
      <x:c r="F161" s="8" t="n">
        <x:f>E161-D161</x:f>
        <x:v>0</x:v>
      </x:c>
      <x:c r="G161" s="9" t="str">
        <x:f>IF(D161=0,"n.a.",F161/D161)</x:f>
        <x:v>n.a.</x:v>
      </x:c>
      <x:c r="H161" s="9" t="n">
        <x:f>D161/SUMIFS($D$6:$D$449,$A$6:$A$449,A161,$B$6:$B$449,B161)</x:f>
        <x:v>0</x:v>
      </x:c>
      <x:c r="I161" s="9" t="n">
        <x:f>E161/SUMIFS($E$6:$E$449,$A$6:$A$449,A161,$B$6:$B$449,B161)</x:f>
        <x:v>0</x:v>
      </x:c>
      <x:c r="J161" s="10" t="n">
        <x:f>(I161-H161)*100</x:f>
        <x:v>0</x:v>
      </x:c>
      <x:c r="K161" s="2"/>
      <x:c r="L161" s="2"/>
      <x:c r="M161" s="2" t="str">
        <x:f>IF(OR(K161="",L161=""),"n.a.",K161-L161)</x:f>
        <x:v>n.a.</x:v>
      </x:c>
    </x:row>
    <x:row r="162" ht="22" customHeight="1">
      <x:c r="A162" s="2" t="str">
        <x:v>全样本</x:v>
      </x:c>
      <x:c r="B162" s="2" t="str">
        <x:v>FY2025</x:v>
      </x:c>
      <x:c r="C162" s="2" t="str">
        <x:v>陆地方舟</x:v>
      </x:c>
      <x:c r="D162" s="8" t="n">
        <x:v>0</x:v>
      </x:c>
      <x:c r="E162" s="8" t="n">
        <x:v>0</x:v>
      </x:c>
      <x:c r="F162" s="8" t="n">
        <x:f>E162-D162</x:f>
        <x:v>0</x:v>
      </x:c>
      <x:c r="G162" s="9" t="str">
        <x:f>IF(D162=0,"n.a.",F162/D162)</x:f>
        <x:v>n.a.</x:v>
      </x:c>
      <x:c r="H162" s="9" t="n">
        <x:f>D162/SUMIFS($D$6:$D$449,$A$6:$A$449,A162,$B$6:$B$449,B162)</x:f>
        <x:v>0</x:v>
      </x:c>
      <x:c r="I162" s="9" t="n">
        <x:f>E162/SUMIFS($E$6:$E$449,$A$6:$A$449,A162,$B$6:$B$449,B162)</x:f>
        <x:v>0</x:v>
      </x:c>
      <x:c r="J162" s="10" t="n">
        <x:f>(I162-H162)*100</x:f>
        <x:v>0</x:v>
      </x:c>
      <x:c r="K162" s="2"/>
      <x:c r="L162" s="2"/>
      <x:c r="M162" s="2" t="str">
        <x:f>IF(OR(K162="",L162=""),"n.a.",K162-L162)</x:f>
        <x:v>n.a.</x:v>
      </x:c>
    </x:row>
    <x:row r="163" ht="22" customHeight="1">
      <x:c r="A163" s="2" t="str">
        <x:v>全样本</x:v>
      </x:c>
      <x:c r="B163" s="2" t="str">
        <x:v>FY2025</x:v>
      </x:c>
      <x:c r="C163" s="2" t="str">
        <x:v>陆风</x:v>
      </x:c>
      <x:c r="D163" s="8" t="n">
        <x:v>0</x:v>
      </x:c>
      <x:c r="E163" s="8" t="n">
        <x:v>0</x:v>
      </x:c>
      <x:c r="F163" s="8" t="n">
        <x:f>E163-D163</x:f>
        <x:v>0</x:v>
      </x:c>
      <x:c r="G163" s="9" t="str">
        <x:f>IF(D163=0,"n.a.",F163/D163)</x:f>
        <x:v>n.a.</x:v>
      </x:c>
      <x:c r="H163" s="9" t="n">
        <x:f>D163/SUMIFS($D$6:$D$449,$A$6:$A$449,A163,$B$6:$B$449,B163)</x:f>
        <x:v>0</x:v>
      </x:c>
      <x:c r="I163" s="9" t="n">
        <x:f>E163/SUMIFS($E$6:$E$449,$A$6:$A$449,A163,$B$6:$B$449,B163)</x:f>
        <x:v>0</x:v>
      </x:c>
      <x:c r="J163" s="10" t="n">
        <x:f>(I163-H163)*100</x:f>
        <x:v>0</x:v>
      </x:c>
      <x:c r="K163" s="2"/>
      <x:c r="L163" s="2"/>
      <x:c r="M163" s="2" t="str">
        <x:f>IF(OR(K163="",L163=""),"n.a.",K163-L163)</x:f>
        <x:v>n.a.</x:v>
      </x:c>
    </x:row>
    <x:row r="164" ht="22" customHeight="1">
      <x:c r="A164" s="2" t="str">
        <x:v>全样本</x:v>
      </x:c>
      <x:c r="B164" s="2" t="str">
        <x:v>FY2025</x:v>
      </x:c>
      <x:c r="C164" s="2" t="str">
        <x:v>雷丁</x:v>
      </x:c>
      <x:c r="D164" s="8" t="n">
        <x:v>0</x:v>
      </x:c>
      <x:c r="E164" s="8" t="n">
        <x:v>0</x:v>
      </x:c>
      <x:c r="F164" s="8" t="n">
        <x:f>E164-D164</x:f>
        <x:v>0</x:v>
      </x:c>
      <x:c r="G164" s="9" t="str">
        <x:f>IF(D164=0,"n.a.",F164/D164)</x:f>
        <x:v>n.a.</x:v>
      </x:c>
      <x:c r="H164" s="9" t="n">
        <x:f>D164/SUMIFS($D$6:$D$449,$A$6:$A$449,A164,$B$6:$B$449,B164)</x:f>
        <x:v>0</x:v>
      </x:c>
      <x:c r="I164" s="9" t="n">
        <x:f>E164/SUMIFS($E$6:$E$449,$A$6:$A$449,A164,$B$6:$B$449,B164)</x:f>
        <x:v>0</x:v>
      </x:c>
      <x:c r="J164" s="10" t="n">
        <x:f>(I164-H164)*100</x:f>
        <x:v>0</x:v>
      </x:c>
      <x:c r="K164" s="2"/>
      <x:c r="L164" s="2"/>
      <x:c r="M164" s="2" t="str">
        <x:f>IF(OR(K164="",L164=""),"n.a.",K164-L164)</x:f>
        <x:v>n.a.</x:v>
      </x:c>
    </x:row>
    <x:row r="165" ht="22" customHeight="1">
      <x:c r="A165" s="2" t="str">
        <x:v>全样本</x:v>
      </x:c>
      <x:c r="B165" s="2" t="str">
        <x:v>FY2025</x:v>
      </x:c>
      <x:c r="C165" s="2" t="str">
        <x:v>雷诺</x:v>
      </x:c>
      <x:c r="D165" s="8" t="n">
        <x:v>0</x:v>
      </x:c>
      <x:c r="E165" s="8" t="n">
        <x:v>0</x:v>
      </x:c>
      <x:c r="F165" s="8" t="n">
        <x:f>E165-D165</x:f>
        <x:v>0</x:v>
      </x:c>
      <x:c r="G165" s="9" t="str">
        <x:f>IF(D165=0,"n.a.",F165/D165)</x:f>
        <x:v>n.a.</x:v>
      </x:c>
      <x:c r="H165" s="9" t="n">
        <x:f>D165/SUMIFS($D$6:$D$449,$A$6:$A$449,A165,$B$6:$B$449,B165)</x:f>
        <x:v>0</x:v>
      </x:c>
      <x:c r="I165" s="9" t="n">
        <x:f>E165/SUMIFS($E$6:$E$449,$A$6:$A$449,A165,$B$6:$B$449,B165)</x:f>
        <x:v>0</x:v>
      </x:c>
      <x:c r="J165" s="10" t="n">
        <x:f>(I165-H165)*100</x:f>
        <x:v>0</x:v>
      </x:c>
      <x:c r="K165" s="2"/>
      <x:c r="L165" s="2"/>
      <x:c r="M165" s="2" t="str">
        <x:f>IF(OR(K165="",L165=""),"n.a.",K165-L165)</x:f>
        <x:v>n.a.</x:v>
      </x:c>
    </x:row>
    <x:row r="166" ht="22" customHeight="1">
      <x:c r="A166" s="2" t="str">
        <x:v>全样本</x:v>
      </x:c>
      <x:c r="B166" s="2" t="str">
        <x:v>FY2025</x:v>
      </x:c>
      <x:c r="C166" s="2" t="str">
        <x:v>领途</x:v>
      </x:c>
      <x:c r="D166" s="8" t="n">
        <x:v>0</x:v>
      </x:c>
      <x:c r="E166" s="8" t="n">
        <x:v>0</x:v>
      </x:c>
      <x:c r="F166" s="8" t="n">
        <x:f>E166-D166</x:f>
        <x:v>0</x:v>
      </x:c>
      <x:c r="G166" s="9" t="str">
        <x:f>IF(D166=0,"n.a.",F166/D166)</x:f>
        <x:v>n.a.</x:v>
      </x:c>
      <x:c r="H166" s="9" t="n">
        <x:f>D166/SUMIFS($D$6:$D$449,$A$6:$A$449,A166,$B$6:$B$449,B166)</x:f>
        <x:v>0</x:v>
      </x:c>
      <x:c r="I166" s="9" t="n">
        <x:f>E166/SUMIFS($E$6:$E$449,$A$6:$A$449,A166,$B$6:$B$449,B166)</x:f>
        <x:v>0</x:v>
      </x:c>
      <x:c r="J166" s="10" t="n">
        <x:f>(I166-H166)*100</x:f>
        <x:v>0</x:v>
      </x:c>
      <x:c r="K166" s="2"/>
      <x:c r="L166" s="2"/>
      <x:c r="M166" s="2" t="str">
        <x:f>IF(OR(K166="",L166=""),"n.a.",K166-L166)</x:f>
        <x:v>n.a.</x:v>
      </x:c>
    </x:row>
    <x:row r="167" ht="22" customHeight="1">
      <x:c r="A167" s="2" t="str">
        <x:v>全样本</x:v>
      </x:c>
      <x:c r="B167" s="2" t="str">
        <x:v>FY2025</x:v>
      </x:c>
      <x:c r="C167" s="2" t="str">
        <x:v>驭胜</x:v>
      </x:c>
      <x:c r="D167" s="8" t="n">
        <x:v>0</x:v>
      </x:c>
      <x:c r="E167" s="8" t="n">
        <x:v>0</x:v>
      </x:c>
      <x:c r="F167" s="8" t="n">
        <x:f>E167-D167</x:f>
        <x:v>0</x:v>
      </x:c>
      <x:c r="G167" s="9" t="str">
        <x:f>IF(D167=0,"n.a.",F167/D167)</x:f>
        <x:v>n.a.</x:v>
      </x:c>
      <x:c r="H167" s="9" t="n">
        <x:f>D167/SUMIFS($D$6:$D$449,$A$6:$A$449,A167,$B$6:$B$449,B167)</x:f>
        <x:v>0</x:v>
      </x:c>
      <x:c r="I167" s="9" t="n">
        <x:f>E167/SUMIFS($E$6:$E$449,$A$6:$A$449,A167,$B$6:$B$449,B167)</x:f>
        <x:v>0</x:v>
      </x:c>
      <x:c r="J167" s="10" t="n">
        <x:f>(I167-H167)*100</x:f>
        <x:v>0</x:v>
      </x:c>
      <x:c r="K167" s="2"/>
      <x:c r="L167" s="2"/>
      <x:c r="M167" s="2" t="str">
        <x:f>IF(OR(K167="",L167=""),"n.a.",K167-L167)</x:f>
        <x:v>n.a.</x:v>
      </x:c>
    </x:row>
    <x:row r="168" ht="22" customHeight="1">
      <x:c r="A168" s="2" t="str">
        <x:v>全样本</x:v>
      </x:c>
      <x:c r="B168" s="2" t="str">
        <x:v>H12026</x:v>
      </x:c>
      <x:c r="C168" s="2" t="str">
        <x:v>比亚迪</x:v>
      </x:c>
      <x:c r="D168" s="8" t="n">
        <x:v>1465223</x:v>
      </x:c>
      <x:c r="E168" s="8" t="n">
        <x:v>794158</x:v>
      </x:c>
      <x:c r="F168" s="8" t="n">
        <x:f>E168-D168</x:f>
        <x:v>-671065</x:v>
      </x:c>
      <x:c r="G168" s="9" t="n">
        <x:f>IF(D168=0,"n.a.",F168/D168)</x:f>
        <x:v>-0.4579951311165604</x:v>
      </x:c>
      <x:c r="H168" s="9" t="n">
        <x:f>D168/SUMIFS($D$6:$D$449,$A$6:$A$449,A168,$B$6:$B$449,B168)</x:f>
        <x:v>0.18005270501840498</x:v>
      </x:c>
      <x:c r="I168" s="9" t="n">
        <x:f>E168/SUMIFS($E$6:$E$449,$A$6:$A$449,A168,$B$6:$B$449,B168)</x:f>
        <x:v>0.13076509530039115</x:v>
      </x:c>
      <x:c r="J168" s="10" t="n">
        <x:f>(I168-H168)*100</x:f>
        <x:v>-4.928760971801383</x:v>
      </x:c>
      <x:c r="K168" s="2" t="n">
        <x:v>1</x:v>
      </x:c>
      <x:c r="L168" s="2" t="n">
        <x:v>1</x:v>
      </x:c>
      <x:c r="M168" s="2" t="n">
        <x:f>IF(OR(K168="",L168=""),"n.a.",K168-L168)</x:f>
        <x:v>0</x:v>
      </x:c>
    </x:row>
    <x:row r="169" ht="22" customHeight="1">
      <x:c r="A169" s="2" t="str">
        <x:v>全样本</x:v>
      </x:c>
      <x:c r="B169" s="2" t="str">
        <x:v>H12026</x:v>
      </x:c>
      <x:c r="C169" s="2" t="str">
        <x:v>大众</x:v>
      </x:c>
      <x:c r="D169" s="8" t="n">
        <x:v>925840</x:v>
      </x:c>
      <x:c r="E169" s="8" t="n">
        <x:v>664963</x:v>
      </x:c>
      <x:c r="F169" s="8" t="n">
        <x:f>E169-D169</x:f>
        <x:v>-260877</x:v>
      </x:c>
      <x:c r="G169" s="9" t="n">
        <x:f>IF(D169=0,"n.a.",F169/D169)</x:f>
        <x:v>-0.2817733085630347</x:v>
      </x:c>
      <x:c r="H169" s="9" t="n">
        <x:f>D169/SUMIFS($D$6:$D$449,$A$6:$A$449,A169,$B$6:$B$449,B169)</x:f>
        <x:v>0.11377107540233812</x:v>
      </x:c>
      <x:c r="I169" s="9" t="n">
        <x:f>E169/SUMIFS($E$6:$E$449,$A$6:$A$449,A169,$B$6:$B$449,B169)</x:f>
        <x:v>0.10949200293421964</x:v>
      </x:c>
      <x:c r="J169" s="10" t="n">
        <x:f>(I169-H169)*100</x:f>
        <x:v>-0.42790724681184833</x:v>
      </x:c>
      <x:c r="K169" s="2" t="n">
        <x:v>2</x:v>
      </x:c>
      <x:c r="L169" s="2" t="n">
        <x:v>2</x:v>
      </x:c>
      <x:c r="M169" s="2" t="n">
        <x:f>IF(OR(K169="",L169=""),"n.a.",K169-L169)</x:f>
        <x:v>0</x:v>
      </x:c>
    </x:row>
    <x:row r="170" ht="22" customHeight="1">
      <x:c r="A170" s="2" t="str">
        <x:v>全样本</x:v>
      </x:c>
      <x:c r="B170" s="2" t="str">
        <x:v>H12026</x:v>
      </x:c>
      <x:c r="C170" s="2" t="str">
        <x:v>丰田</x:v>
      </x:c>
      <x:c r="D170" s="8" t="n">
        <x:v>705811</x:v>
      </x:c>
      <x:c r="E170" s="8" t="n">
        <x:v>578769</x:v>
      </x:c>
      <x:c r="F170" s="8" t="n">
        <x:f>E170-D170</x:f>
        <x:v>-127042</x:v>
      </x:c>
      <x:c r="G170" s="9" t="n">
        <x:f>IF(D170=0,"n.a.",F170/D170)</x:f>
        <x:v>-0.17999436109666753</x:v>
      </x:c>
      <x:c r="H170" s="9" t="n">
        <x:f>D170/SUMIFS($D$6:$D$449,$A$6:$A$449,A170,$B$6:$B$449,B170)</x:f>
        <x:v>0.08673299544284074</x:v>
      </x:c>
      <x:c r="I170" s="9" t="n">
        <x:f>E170/SUMIFS($E$6:$E$449,$A$6:$A$449,A170,$B$6:$B$449,B170)</x:f>
        <x:v>0.09529940319421587</x:v>
      </x:c>
      <x:c r="J170" s="10" t="n">
        <x:f>(I170-H170)*100</x:f>
        <x:v>0.8566407751375127</x:v>
      </x:c>
      <x:c r="K170" s="2" t="n">
        <x:v>3</x:v>
      </x:c>
      <x:c r="L170" s="2" t="n">
        <x:v>3</x:v>
      </x:c>
      <x:c r="M170" s="2" t="n">
        <x:f>IF(OR(K170="",L170=""),"n.a.",K170-L170)</x:f>
        <x:v>0</x:v>
      </x:c>
    </x:row>
    <x:row r="171" ht="22" customHeight="1">
      <x:c r="A171" s="2" t="str">
        <x:v>全样本</x:v>
      </x:c>
      <x:c r="B171" s="2" t="str">
        <x:v>H12026</x:v>
      </x:c>
      <x:c r="C171" s="2" t="str">
        <x:v>吉利汽车</x:v>
      </x:c>
      <x:c r="D171" s="8" t="n">
        <x:v>391013</x:v>
      </x:c>
      <x:c r="E171" s="8" t="n">
        <x:v>289175</x:v>
      </x:c>
      <x:c r="F171" s="8" t="n">
        <x:f>E171-D171</x:f>
        <x:v>-101838</x:v>
      </x:c>
      <x:c r="G171" s="9" t="n">
        <x:f>IF(D171=0,"n.a.",F171/D171)</x:f>
        <x:v>-0.2604465836174245</x:v>
      </x:c>
      <x:c r="H171" s="9" t="n">
        <x:f>D171/SUMIFS($D$6:$D$449,$A$6:$A$449,A171,$B$6:$B$449,B171)</x:f>
        <x:v>0.04804930604239872</x:v>
      </x:c>
      <x:c r="I171" s="9" t="n">
        <x:f>E171/SUMIFS($E$6:$E$449,$A$6:$A$449,A171,$B$6:$B$449,B171)</x:f>
        <x:v>0.04761520558061571</x:v>
      </x:c>
      <x:c r="J171" s="10" t="n">
        <x:f>(I171-H171)*100</x:f>
        <x:v>-0.04341004617830144</x:v>
      </x:c>
      <x:c r="K171" s="2" t="n">
        <x:v>4</x:v>
      </x:c>
      <x:c r="L171" s="2" t="n">
        <x:v>4</x:v>
      </x:c>
      <x:c r="M171" s="2" t="n">
        <x:f>IF(OR(K171="",L171=""),"n.a.",K171-L171)</x:f>
        <x:v>0</x:v>
      </x:c>
    </x:row>
    <x:row r="172" ht="22" customHeight="1">
      <x:c r="A172" s="2" t="str">
        <x:v>全样本</x:v>
      </x:c>
      <x:c r="B172" s="2" t="str">
        <x:v>H12026</x:v>
      </x:c>
      <x:c r="C172" s="2" t="str">
        <x:v>吉利银河</x:v>
      </x:c>
      <x:c r="D172" s="8" t="n">
        <x:v>326023</x:v>
      </x:c>
      <x:c r="E172" s="8" t="n">
        <x:v>288762</x:v>
      </x:c>
      <x:c r="F172" s="8" t="n">
        <x:f>E172-D172</x:f>
        <x:v>-37261</x:v>
      </x:c>
      <x:c r="G172" s="9" t="n">
        <x:f>IF(D172=0,"n.a.",F172/D172)</x:f>
        <x:v>-0.11428948264386254</x:v>
      </x:c>
      <x:c r="H172" s="9" t="n">
        <x:f>D172/SUMIFS($D$6:$D$449,$A$6:$A$449,A172,$B$6:$B$449,B172)</x:f>
        <x:v>0.04006306415352164</x:v>
      </x:c>
      <x:c r="I172" s="9" t="n">
        <x:f>E172/SUMIFS($E$6:$E$449,$A$6:$A$449,A172,$B$6:$B$449,B172)</x:f>
        <x:v>0.047547201500370895</x:v>
      </x:c>
      <x:c r="J172" s="10" t="n">
        <x:f>(I172-H172)*100</x:f>
        <x:v>0.7484137346849252</x:v>
      </x:c>
      <x:c r="K172" s="2" t="n">
        <x:v>5</x:v>
      </x:c>
      <x:c r="L172" s="2" t="n">
        <x:v>5</x:v>
      </x:c>
      <x:c r="M172" s="2" t="n">
        <x:f>IF(OR(K172="",L172=""),"n.a.",K172-L172)</x:f>
        <x:v>0</x:v>
      </x:c>
    </x:row>
    <x:row r="173" ht="22" customHeight="1">
      <x:c r="A173" s="2" t="str">
        <x:v>全样本</x:v>
      </x:c>
      <x:c r="B173" s="2" t="str">
        <x:v>H12026</x:v>
      </x:c>
      <x:c r="C173" s="2" t="str">
        <x:v>特斯拉</x:v>
      </x:c>
      <x:c r="D173" s="8" t="n">
        <x:v>263410</x:v>
      </x:c>
      <x:c r="E173" s="8" t="n">
        <x:v>238955</x:v>
      </x:c>
      <x:c r="F173" s="8" t="n">
        <x:f>E173-D173</x:f>
        <x:v>-24455</x:v>
      </x:c>
      <x:c r="G173" s="9" t="n">
        <x:f>IF(D173=0,"n.a.",F173/D173)</x:f>
        <x:v>-0.09284005922326412</x:v>
      </x:c>
      <x:c r="H173" s="9" t="n">
        <x:f>D173/SUMIFS($D$6:$D$449,$A$6:$A$449,A173,$B$6:$B$449,B173)</x:f>
        <x:v>0.03236891792505172</x:v>
      </x:c>
      <x:c r="I173" s="9" t="n">
        <x:f>E173/SUMIFS($E$6:$E$449,$A$6:$A$449,A173,$B$6:$B$449,B173)</x:f>
        <x:v>0.03934604114987819</x:v>
      </x:c>
      <x:c r="J173" s="10" t="n">
        <x:f>(I173-H173)*100</x:f>
        <x:v>0.6977123224826471</x:v>
      </x:c>
      <x:c r="K173" s="2" t="n">
        <x:v>10</x:v>
      </x:c>
      <x:c r="L173" s="2" t="n">
        <x:v>6</x:v>
      </x:c>
      <x:c r="M173" s="2" t="n">
        <x:f>IF(OR(K173="",L173=""),"n.a.",K173-L173)</x:f>
        <x:v>4</x:v>
      </x:c>
    </x:row>
    <x:row r="174" ht="22" customHeight="1">
      <x:c r="A174" s="2" t="str">
        <x:v>全样本</x:v>
      </x:c>
      <x:c r="B174" s="2" t="str">
        <x:v>H12026</x:v>
      </x:c>
      <x:c r="C174" s="2" t="str">
        <x:v>长安</x:v>
      </x:c>
      <x:c r="D174" s="8" t="n">
        <x:v>314349</x:v>
      </x:c>
      <x:c r="E174" s="8" t="n">
        <x:v>238832</x:v>
      </x:c>
      <x:c r="F174" s="8" t="n">
        <x:f>E174-D174</x:f>
        <x:v>-75517</x:v>
      </x:c>
      <x:c r="G174" s="9" t="n">
        <x:f>IF(D174=0,"n.a.",F174/D174)</x:f>
        <x:v>-0.24023298944803387</x:v>
      </x:c>
      <x:c r="H174" s="9" t="n">
        <x:f>D174/SUMIFS($D$6:$D$449,$A$6:$A$449,A174,$B$6:$B$449,B174)</x:f>
        <x:v>0.03862851441031883</x:v>
      </x:c>
      <x:c r="I174" s="9" t="n">
        <x:f>E174/SUMIFS($E$6:$E$449,$A$6:$A$449,A174,$B$6:$B$449,B174)</x:f>
        <x:v>0.0393257881187157</x:v>
      </x:c>
      <x:c r="J174" s="10" t="n">
        <x:f>(I174-H174)*100</x:f>
        <x:v>0.06972737083968672</x:v>
      </x:c>
      <x:c r="K174" s="2" t="n">
        <x:v>6</x:v>
      </x:c>
      <x:c r="L174" s="2" t="n">
        <x:v>7</x:v>
      </x:c>
      <x:c r="M174" s="2" t="n">
        <x:f>IF(OR(K174="",L174=""),"n.a.",K174-L174)</x:f>
        <x:v>-1</x:v>
      </x:c>
    </x:row>
    <x:row r="175" ht="22" customHeight="1">
      <x:c r="A175" s="2" t="str">
        <x:v>全样本</x:v>
      </x:c>
      <x:c r="B175" s="2" t="str">
        <x:v>H12026</x:v>
      </x:c>
      <x:c r="C175" s="2" t="str">
        <x:v>宝马</x:v>
      </x:c>
      <x:c r="D175" s="8" t="n">
        <x:v>269857</x:v>
      </x:c>
      <x:c r="E175" s="8" t="n">
        <x:v>220954</x:v>
      </x:c>
      <x:c r="F175" s="8" t="n">
        <x:f>E175-D175</x:f>
        <x:v>-48903</x:v>
      </x:c>
      <x:c r="G175" s="9" t="n">
        <x:f>IF(D175=0,"n.a.",F175/D175)</x:f>
        <x:v>-0.181218200750768</x:v>
      </x:c>
      <x:c r="H175" s="9" t="n">
        <x:f>D175/SUMIFS($D$6:$D$449,$A$6:$A$449,A175,$B$6:$B$449,B175)</x:f>
        <x:v>0.033161152137355</x:v>
      </x:c>
      <x:c r="I175" s="9" t="n">
        <x:f>E175/SUMIFS($E$6:$E$449,$A$6:$A$449,A175,$B$6:$B$449,B175)</x:f>
        <x:v>0.03638201827218592</x:v>
      </x:c>
      <x:c r="J175" s="10" t="n">
        <x:f>(I175-H175)*100</x:f>
        <x:v>0.322086613483092</x:v>
      </x:c>
      <x:c r="K175" s="2" t="n">
        <x:v>8</x:v>
      </x:c>
      <x:c r="L175" s="2" t="n">
        <x:v>8</x:v>
      </x:c>
      <x:c r="M175" s="2" t="n">
        <x:f>IF(OR(K175="",L175=""),"n.a.",K175-L175)</x:f>
        <x:v>0</x:v>
      </x:c>
    </x:row>
    <x:row r="176" ht="22" customHeight="1">
      <x:c r="A176" s="2" t="str">
        <x:v>全样本</x:v>
      </x:c>
      <x:c r="B176" s="2" t="str">
        <x:v>H12026</x:v>
      </x:c>
      <x:c r="C176" s="2" t="str">
        <x:v>奥迪</x:v>
      </x:c>
      <x:c r="D176" s="8" t="n">
        <x:v>265958</x:v>
      </x:c>
      <x:c r="E176" s="8" t="n">
        <x:v>216503</x:v>
      </x:c>
      <x:c r="F176" s="8" t="n">
        <x:f>E176-D176</x:f>
        <x:v>-49455</x:v>
      </x:c>
      <x:c r="G176" s="9" t="n">
        <x:f>IF(D176=0,"n.a.",F176/D176)</x:f>
        <x:v>-0.1859504132231405</x:v>
      </x:c>
      <x:c r="H176" s="9" t="n">
        <x:f>D176/SUMIFS($D$6:$D$449,$A$6:$A$449,A176,$B$6:$B$449,B176)</x:f>
        <x:v>0.03268202677768842</x:v>
      </x:c>
      <x:c r="I176" s="9" t="n">
        <x:f>E176/SUMIFS($E$6:$E$449,$A$6:$A$449,A176,$B$6:$B$449,B176)</x:f>
        <x:v>0.035649121998167346</x:v>
      </x:c>
      <x:c r="J176" s="10" t="n">
        <x:f>(I176-H176)*100</x:f>
        <x:v>0.29670952204789297</x:v>
      </x:c>
      <x:c r="K176" s="2" t="n">
        <x:v>9</x:v>
      </x:c>
      <x:c r="L176" s="2" t="n">
        <x:v>9</x:v>
      </x:c>
      <x:c r="M176" s="2" t="n">
        <x:f>IF(OR(K176="",L176=""),"n.a.",K176-L176)</x:f>
        <x:v>0</x:v>
      </x:c>
    </x:row>
    <x:row r="177" ht="22" customHeight="1">
      <x:c r="A177" s="2" t="str">
        <x:v>全样本</x:v>
      </x:c>
      <x:c r="B177" s="2" t="str">
        <x:v>H12026</x:v>
      </x:c>
      <x:c r="C177" s="2" t="str">
        <x:v>五菱</x:v>
      </x:c>
      <x:c r="D177" s="8" t="n">
        <x:v>218212</x:v>
      </x:c>
      <x:c r="E177" s="8" t="n">
        <x:v>207213</x:v>
      </x:c>
      <x:c r="F177" s="8" t="n">
        <x:f>E177-D177</x:f>
        <x:v>-10999</x:v>
      </x:c>
      <x:c r="G177" s="9" t="n">
        <x:f>IF(D177=0,"n.a.",F177/D177)</x:f>
        <x:v>-0.05040511062636335</x:v>
      </x:c>
      <x:c r="H177" s="9" t="n">
        <x:f>D177/SUMIFS($D$6:$D$449,$A$6:$A$449,A177,$B$6:$B$449,B177)</x:f>
        <x:v>0.02681479943153785</x:v>
      </x:c>
      <x:c r="I177" s="9" t="n">
        <x:f>E177/SUMIFS($E$6:$E$449,$A$6:$A$449,A177,$B$6:$B$449,B177)</x:f>
        <x:v>0.03411944183963386</x:v>
      </x:c>
      <x:c r="J177" s="10" t="n">
        <x:f>(I177-H177)*100</x:f>
        <x:v>0.7304642408096012</x:v>
      </x:c>
      <x:c r="K177" s="2" t="n">
        <x:v>14</x:v>
      </x:c>
      <x:c r="L177" s="2" t="n">
        <x:v>10</x:v>
      </x:c>
      <x:c r="M177" s="2" t="n">
        <x:f>IF(OR(K177="",L177=""),"n.a.",K177-L177)</x:f>
        <x:v>4</x:v>
      </x:c>
    </x:row>
    <x:row r="178" ht="22" customHeight="1">
      <x:c r="A178" s="2" t="str">
        <x:v>全样本</x:v>
      </x:c>
      <x:c r="B178" s="2" t="str">
        <x:v>H12026</x:v>
      </x:c>
      <x:c r="C178" s="2" t="str">
        <x:v>本田</x:v>
      </x:c>
      <x:c r="D178" s="8" t="n">
        <x:v>306282</x:v>
      </x:c>
      <x:c r="E178" s="8" t="n">
        <x:v>200943</x:v>
      </x:c>
      <x:c r="F178" s="8" t="n">
        <x:f>E178-D178</x:f>
        <x:v>-105339</x:v>
      </x:c>
      <x:c r="G178" s="9" t="n">
        <x:f>IF(D178=0,"n.a.",F178/D178)</x:f>
        <x:v>-0.3439281446510079</x:v>
      </x:c>
      <x:c r="H178" s="9" t="n">
        <x:f>D178/SUMIFS($D$6:$D$449,$A$6:$A$449,A178,$B$6:$B$449,B178)</x:f>
        <x:v>0.037637207850577774</x:v>
      </x:c>
      <x:c r="I178" s="9" t="n">
        <x:f>E178/SUMIFS($E$6:$E$449,$A$6:$A$449,A178,$B$6:$B$449,B178)</x:f>
        <x:v>0.03308703122671622</x:v>
      </x:c>
      <x:c r="J178" s="10" t="n">
        <x:f>(I178-H178)*100</x:f>
        <x:v>-0.4550176623861556</x:v>
      </x:c>
      <x:c r="K178" s="2" t="n">
        <x:v>7</x:v>
      </x:c>
      <x:c r="L178" s="2" t="n">
        <x:v>11</x:v>
      </x:c>
      <x:c r="M178" s="2" t="n">
        <x:f>IF(OR(K178="",L178=""),"n.a.",K178-L178)</x:f>
        <x:v>-4</x:v>
      </x:c>
    </x:row>
    <x:row r="179" ht="22" customHeight="1">
      <x:c r="A179" s="2" t="str">
        <x:v>全样本</x:v>
      </x:c>
      <x:c r="B179" s="2" t="str">
        <x:v>H12026</x:v>
      </x:c>
      <x:c r="C179" s="2" t="str">
        <x:v>日产</x:v>
      </x:c>
      <x:c r="D179" s="8" t="n">
        <x:v>242157</x:v>
      </x:c>
      <x:c r="E179" s="8" t="n">
        <x:v>200026</x:v>
      </x:c>
      <x:c r="F179" s="8" t="n">
        <x:f>E179-D179</x:f>
        <x:v>-42131</x:v>
      </x:c>
      <x:c r="G179" s="9" t="n">
        <x:f>IF(D179=0,"n.a.",F179/D179)</x:f>
        <x:v>-0.1739821685931028</x:v>
      </x:c>
      <x:c r="H179" s="9" t="n">
        <x:f>D179/SUMIFS($D$6:$D$449,$A$6:$A$449,A179,$B$6:$B$449,B179)</x:f>
        <x:v>0.029757260764499256</x:v>
      </x:c>
      <x:c r="I179" s="9" t="n">
        <x:f>E179/SUMIFS($E$6:$E$449,$A$6:$A$449,A179,$B$6:$B$449,B179)</x:f>
        <x:v>0.03293603911634214</x:v>
      </x:c>
      <x:c r="J179" s="10" t="n">
        <x:f>(I179-H179)*100</x:f>
        <x:v>0.31787783518428814</x:v>
      </x:c>
      <x:c r="K179" s="2" t="n">
        <x:v>13</x:v>
      </x:c>
      <x:c r="L179" s="2" t="n">
        <x:v>12</x:v>
      </x:c>
      <x:c r="M179" s="2" t="n">
        <x:f>IF(OR(K179="",L179=""),"n.a.",K179-L179)</x:f>
        <x:v>1</x:v>
      </x:c>
    </x:row>
    <x:row r="180" ht="22" customHeight="1">
      <x:c r="A180" s="2" t="str">
        <x:v>全样本</x:v>
      </x:c>
      <x:c r="B180" s="2" t="str">
        <x:v>H12026</x:v>
      </x:c>
      <x:c r="C180" s="2" t="str">
        <x:v>奇瑞</x:v>
      </x:c>
      <x:c r="D180" s="8" t="n">
        <x:v>253987</x:v>
      </x:c>
      <x:c r="E180" s="8" t="n">
        <x:v>178090</x:v>
      </x:c>
      <x:c r="F180" s="8" t="n">
        <x:f>E180-D180</x:f>
        <x:v>-75897</x:v>
      </x:c>
      <x:c r="G180" s="9" t="n">
        <x:f>IF(D180=0,"n.a.",F180/D180)</x:f>
        <x:v>-0.2988223806730266</x:v>
      </x:c>
      <x:c r="H180" s="9" t="n">
        <x:f>D180/SUMIFS($D$6:$D$449,$A$6:$A$449,A180,$B$6:$B$449,B180)</x:f>
        <x:v>0.03121098043745534</x:v>
      </x:c>
      <x:c r="I180" s="9" t="n">
        <x:f>E180/SUMIFS($E$6:$E$449,$A$6:$A$449,A180,$B$6:$B$449,B180)</x:f>
        <x:v>0.029324083900239824</x:v>
      </x:c>
      <x:c r="J180" s="10" t="n">
        <x:f>(I180-H180)*100</x:f>
        <x:v>-0.18868965372155141</x:v>
      </x:c>
      <x:c r="K180" s="2" t="n">
        <x:v>11</x:v>
      </x:c>
      <x:c r="L180" s="2" t="n">
        <x:v>13</x:v>
      </x:c>
      <x:c r="M180" s="2" t="n">
        <x:f>IF(OR(K180="",L180=""),"n.a.",K180-L180)</x:f>
        <x:v>-2</x:v>
      </x:c>
    </x:row>
    <x:row r="181" ht="22" customHeight="1">
      <x:c r="A181" s="2" t="str">
        <x:v>全样本</x:v>
      </x:c>
      <x:c r="B181" s="2" t="str">
        <x:v>H12026</x:v>
      </x:c>
      <x:c r="C181" s="2" t="str">
        <x:v>奔驰</x:v>
      </x:c>
      <x:c r="D181" s="8" t="n">
        <x:v>242723</x:v>
      </x:c>
      <x:c r="E181" s="8" t="n">
        <x:v>165690</x:v>
      </x:c>
      <x:c r="F181" s="8" t="n">
        <x:f>E181-D181</x:f>
        <x:v>-77033</x:v>
      </x:c>
      <x:c r="G181" s="9" t="n">
        <x:f>IF(D181=0,"n.a.",F181/D181)</x:f>
        <x:v>-0.3173700061386848</x:v>
      </x:c>
      <x:c r="H181" s="9" t="n">
        <x:f>D181/SUMIFS($D$6:$D$449,$A$6:$A$449,A181,$B$6:$B$449,B181)</x:f>
        <x:v>0.02982681320193739</x:v>
      </x:c>
      <x:c r="I181" s="9" t="n">
        <x:f>E181/SUMIFS($E$6:$E$449,$A$6:$A$449,A181,$B$6:$B$449,B181)</x:f>
        <x:v>0.027282314904995993</x:v>
      </x:c>
      <x:c r="J181" s="10" t="n">
        <x:f>(I181-H181)*100</x:f>
        <x:v>-0.25444982969413976</x:v>
      </x:c>
      <x:c r="K181" s="2" t="n">
        <x:v>12</x:v>
      </x:c>
      <x:c r="L181" s="2" t="n">
        <x:v>14</x:v>
      </x:c>
      <x:c r="M181" s="2" t="n">
        <x:f>IF(OR(K181="",L181=""),"n.a.",K181-L181)</x:f>
        <x:v>-2</x:v>
      </x:c>
    </x:row>
    <x:row r="182" ht="22" customHeight="1">
      <x:c r="A182" s="2" t="str">
        <x:v>全样本</x:v>
      </x:c>
      <x:c r="B182" s="2" t="str">
        <x:v>H12026</x:v>
      </x:c>
      <x:c r="C182" s="2" t="str">
        <x:v>别克</x:v>
      </x:c>
      <x:c r="D182" s="8" t="n">
        <x:v>186679</x:v>
      </x:c>
      <x:c r="E182" s="8" t="n">
        <x:v>161991</x:v>
      </x:c>
      <x:c r="F182" s="8" t="n">
        <x:f>E182-D182</x:f>
        <x:v>-24688</x:v>
      </x:c>
      <x:c r="G182" s="9" t="n">
        <x:f>IF(D182=0,"n.a.",F182/D182)</x:f>
        <x:v>-0.13224840501609714</x:v>
      </x:c>
      <x:c r="H182" s="9" t="n">
        <x:f>D182/SUMIFS($D$6:$D$449,$A$6:$A$449,A182,$B$6:$B$449,B182)</x:f>
        <x:v>0.022939893053911125</x:v>
      </x:c>
      <x:c r="I182" s="9" t="n">
        <x:f>E182/SUMIFS($E$6:$E$449,$A$6:$A$449,A182,$B$6:$B$449,B182)</x:f>
        <x:v>0.026673242041011565</x:v>
      </x:c>
      <x:c r="J182" s="10" t="n">
        <x:f>(I182-H182)*100</x:f>
        <x:v>0.37333489871004405</x:v>
      </x:c>
      <x:c r="K182" s="2" t="n">
        <x:v>16</x:v>
      </x:c>
      <x:c r="L182" s="2" t="n">
        <x:v>15</x:v>
      </x:c>
      <x:c r="M182" s="2" t="n">
        <x:f>IF(OR(K182="",L182=""),"n.a.",K182-L182)</x:f>
        <x:v>1</x:v>
      </x:c>
    </x:row>
    <x:row r="183" ht="22" customHeight="1">
      <x:c r="A183" s="2" t="str">
        <x:v>全样本</x:v>
      </x:c>
      <x:c r="B183" s="2" t="str">
        <x:v>H12026</x:v>
      </x:c>
      <x:c r="C183" s="2" t="str">
        <x:v>红旗</x:v>
      </x:c>
      <x:c r="D183" s="8" t="n">
        <x:v>208617</x:v>
      </x:c>
      <x:c r="E183" s="8" t="n">
        <x:v>124494</x:v>
      </x:c>
      <x:c r="F183" s="8" t="n">
        <x:f>E183-D183</x:f>
        <x:v>-84123</x:v>
      </x:c>
      <x:c r="G183" s="9" t="n">
        <x:f>IF(D183=0,"n.a.",F183/D183)</x:f>
        <x:v>-0.4032413465824933</x:v>
      </x:c>
      <x:c r="H183" s="9" t="n">
        <x:f>D183/SUMIFS($D$6:$D$449,$A$6:$A$449,A183,$B$6:$B$449,B183)</x:f>
        <x:v>0.025635725867546845</x:v>
      </x:c>
      <x:c r="I183" s="9" t="n">
        <x:f>E183/SUMIFS($E$6:$E$449,$A$6:$A$449,A183,$B$6:$B$449,B183)</x:f>
        <x:v>0.020499031394668184</x:v>
      </x:c>
      <x:c r="J183" s="10" t="n">
        <x:f>(I183-H183)*100</x:f>
        <x:v>-0.513669447287866</x:v>
      </x:c>
      <x:c r="K183" s="2" t="n">
        <x:v>15</x:v>
      </x:c>
      <x:c r="L183" s="2" t="n">
        <x:v>16</x:v>
      </x:c>
      <x:c r="M183" s="2" t="n">
        <x:f>IF(OR(K183="",L183=""),"n.a.",K183-L183)</x:f>
        <x:v>-1</x:v>
      </x:c>
    </x:row>
    <x:row r="184" ht="22" customHeight="1">
      <x:c r="A184" s="2" t="str">
        <x:v>全样本</x:v>
      </x:c>
      <x:c r="B184" s="2" t="str">
        <x:v>H12026</x:v>
      </x:c>
      <x:c r="C184" s="2" t="str">
        <x:v>小鹏</x:v>
      </x:c>
      <x:c r="D184" s="8" t="n">
        <x:v>140504</x:v>
      </x:c>
      <x:c r="E184" s="8" t="n">
        <x:v>105122</x:v>
      </x:c>
      <x:c r="F184" s="8" t="n">
        <x:f>E184-D184</x:f>
        <x:v>-35382</x:v>
      </x:c>
      <x:c r="G184" s="9" t="n">
        <x:f>IF(D184=0,"n.a.",F184/D184)</x:f>
        <x:v>-0.2518220121847065</x:v>
      </x:c>
      <x:c r="H184" s="9" t="n">
        <x:f>D184/SUMIFS($D$6:$D$449,$A$6:$A$449,A184,$B$6:$B$449,B184)</x:f>
        <x:v>0.01726571673110917</x:v>
      </x:c>
      <x:c r="I184" s="9" t="n">
        <x:f>E184/SUMIFS($E$6:$E$449,$A$6:$A$449,A184,$B$6:$B$449,B184)</x:f>
        <x:v>0.017309261315969514</x:v>
      </x:c>
      <x:c r="J184" s="10" t="n">
        <x:f>(I184-H184)*100</x:f>
        <x:v>0.004354458486034371</x:v>
      </x:c>
      <x:c r="K184" s="2" t="n">
        <x:v>18</x:v>
      </x:c>
      <x:c r="L184" s="2" t="n">
        <x:v>17</x:v>
      </x:c>
      <x:c r="M184" s="2" t="n">
        <x:f>IF(OR(K184="",L184=""),"n.a.",K184-L184)</x:f>
        <x:v>1</x:v>
      </x:c>
    </x:row>
    <x:row r="185" ht="22" customHeight="1">
      <x:c r="A185" s="2" t="str">
        <x:v>全样本</x:v>
      </x:c>
      <x:c r="B185" s="2" t="str">
        <x:v>H12026</x:v>
      </x:c>
      <x:c r="C185" s="2" t="str">
        <x:v>MG名爵</x:v>
      </x:c>
      <x:c r="D185" s="8" t="n">
        <x:v>50134</x:v>
      </x:c>
      <x:c r="E185" s="8" t="n">
        <x:v>93400</x:v>
      </x:c>
      <x:c r="F185" s="8" t="n">
        <x:f>E185-D185</x:f>
        <x:v>43266</x:v>
      </x:c>
      <x:c r="G185" s="9" t="n">
        <x:f>IF(D185=0,"n.a.",F185/D185)</x:f>
        <x:v>0.8630071408624885</x:v>
      </x:c>
      <x:c r="H185" s="9" t="n">
        <x:f>D185/SUMIFS($D$6:$D$449,$A$6:$A$449,A185,$B$6:$B$449,B185)</x:f>
        <x:v>0.006160674732373649</x:v>
      </x:c>
      <x:c r="I185" s="9" t="n">
        <x:f>E185/SUMIFS($E$6:$E$449,$A$6:$A$449,A185,$B$6:$B$449,B185)</x:f>
        <x:v>0.015379130980304339</x:v>
      </x:c>
      <x:c r="J185" s="10" t="n">
        <x:f>(I185-H185)*100</x:f>
        <x:v>0.921845624793069</x:v>
      </x:c>
      <x:c r="K185" s="2" t="n">
        <x:v>26</x:v>
      </x:c>
      <x:c r="L185" s="2" t="n">
        <x:v>18</x:v>
      </x:c>
      <x:c r="M185" s="2" t="n">
        <x:f>IF(OR(K185="",L185=""),"n.a.",K185-L185)</x:f>
        <x:v>8</x:v>
      </x:c>
    </x:row>
    <x:row r="186" ht="22" customHeight="1">
      <x:c r="A186" s="2" t="str">
        <x:v>全样本</x:v>
      </x:c>
      <x:c r="B186" s="2" t="str">
        <x:v>H12026</x:v>
      </x:c>
      <x:c r="C186" s="2" t="str">
        <x:v>小米汽车</x:v>
      </x:c>
      <x:c r="D186" s="8" t="n">
        <x:v>155692</x:v>
      </x:c>
      <x:c r="E186" s="8" t="n">
        <x:v>80496</x:v>
      </x:c>
      <x:c r="F186" s="8" t="n">
        <x:f>E186-D186</x:f>
        <x:v>-75196</x:v>
      </x:c>
      <x:c r="G186" s="9" t="n">
        <x:f>IF(D186=0,"n.a.",F186/D186)</x:f>
        <x:v>-0.48297921537394345</x:v>
      </x:c>
      <x:c r="H186" s="9" t="n">
        <x:f>D186/SUMIFS($D$6:$D$449,$A$6:$A$449,A186,$B$6:$B$449,B186)</x:f>
        <x:v>0.019132081430420837</x:v>
      </x:c>
      <x:c r="I186" s="9" t="n">
        <x:f>E186/SUMIFS($E$6:$E$449,$A$6:$A$449,A186,$B$6:$B$449,B186)</x:f>
        <x:v>0.013254373954931243</x:v>
      </x:c>
      <x:c r="J186" s="10" t="n">
        <x:f>(I186-H186)*100</x:f>
        <x:v>-0.5877707475489593</x:v>
      </x:c>
      <x:c r="K186" s="2" t="n">
        <x:v>17</x:v>
      </x:c>
      <x:c r="L186" s="2" t="n">
        <x:v>19</x:v>
      </x:c>
      <x:c r="M186" s="2" t="n">
        <x:f>IF(OR(K186="",L186=""),"n.a.",K186-L186)</x:f>
        <x:v>-2</x:v>
      </x:c>
    </x:row>
    <x:row r="187" ht="22" customHeight="1">
      <x:c r="A187" s="2" t="str">
        <x:v>全样本</x:v>
      </x:c>
      <x:c r="B187" s="2" t="str">
        <x:v>H12026</x:v>
      </x:c>
      <x:c r="C187" s="2" t="str">
        <x:v>ARCFOX极狐</x:v>
      </x:c>
      <x:c r="D187" s="8" t="n">
        <x:v>33146</x:v>
      </x:c>
      <x:c r="E187" s="8" t="n">
        <x:v>73944</x:v>
      </x:c>
      <x:c r="F187" s="8" t="n">
        <x:f>E187-D187</x:f>
        <x:v>40798</x:v>
      </x:c>
      <x:c r="G187" s="9" t="n">
        <x:f>IF(D187=0,"n.a.",F187/D187)</x:f>
        <x:v>1.230857418693055</x:v>
      </x:c>
      <x:c r="H187" s="9" t="n">
        <x:f>D187/SUMIFS($D$6:$D$449,$A$6:$A$449,A187,$B$6:$B$449,B187)</x:f>
        <x:v>0.004073118535908904</x:v>
      </x:c>
      <x:c r="I187" s="9" t="n">
        <x:f>E187/SUMIFS($E$6:$E$449,$A$6:$A$449,A187,$B$6:$B$449,B187)</x:f>
        <x:v>0.012175529563250792</x:v>
      </x:c>
      <x:c r="J187" s="10" t="n">
        <x:f>(I187-H187)*100</x:f>
        <x:v>0.8102411027341889</x:v>
      </x:c>
      <x:c r="K187" s="2" t="n">
        <x:v>32</x:v>
      </x:c>
      <x:c r="L187" s="2" t="n">
        <x:v>20</x:v>
      </x:c>
      <x:c r="M187" s="2" t="n">
        <x:f>IF(OR(K187="",L187=""),"n.a.",K187-L187)</x:f>
        <x:v>12</x:v>
      </x:c>
    </x:row>
    <x:row r="188" ht="22" customHeight="1">
      <x:c r="A188" s="2" t="str">
        <x:v>全样本</x:v>
      </x:c>
      <x:c r="B188" s="2" t="str">
        <x:v>H12026</x:v>
      </x:c>
      <x:c r="C188" s="2" t="str">
        <x:v>广汽传祺</x:v>
      </x:c>
      <x:c r="D188" s="8" t="n">
        <x:v>56151</x:v>
      </x:c>
      <x:c r="E188" s="8" t="n">
        <x:v>54162</x:v>
      </x:c>
      <x:c r="F188" s="8" t="n">
        <x:f>E188-D188</x:f>
        <x:v>-1989</x:v>
      </x:c>
      <x:c r="G188" s="9" t="n">
        <x:f>IF(D188=0,"n.a.",F188/D188)</x:f>
        <x:v>-0.035422343324250684</x:v>
      </x:c>
      <x:c r="H188" s="9" t="n">
        <x:f>D188/SUMIFS($D$6:$D$449,$A$6:$A$449,A188,$B$6:$B$449,B188)</x:f>
        <x:v>0.006900068753690365</x:v>
      </x:c>
      <x:c r="I188" s="9" t="n">
        <x:f>E188/SUMIFS($E$6:$E$449,$A$6:$A$449,A188,$B$6:$B$449,B188)</x:f>
        <x:v>0.008918249380677127</x:v>
      </x:c>
      <x:c r="J188" s="10" t="n">
        <x:f>(I188-H188)*100</x:f>
        <x:v>0.20181806269867616</x:v>
      </x:c>
      <x:c r="K188" s="2" t="n">
        <x:v>24</x:v>
      </x:c>
      <x:c r="L188" s="2" t="n">
        <x:v>21</x:v>
      </x:c>
      <x:c r="M188" s="2" t="n">
        <x:f>IF(OR(K188="",L188=""),"n.a.",K188-L188)</x:f>
        <x:v>3</x:v>
      </x:c>
    </x:row>
    <x:row r="189" ht="22" customHeight="1">
      <x:c r="A189" s="2" t="str">
        <x:v>全样本</x:v>
      </x:c>
      <x:c r="B189" s="2" t="str">
        <x:v>H12026</x:v>
      </x:c>
      <x:c r="C189" s="2" t="str">
        <x:v>领克</x:v>
      </x:c>
      <x:c r="D189" s="8" t="n">
        <x:v>44407</x:v>
      </x:c>
      <x:c r="E189" s="8" t="n">
        <x:v>53358</x:v>
      </x:c>
      <x:c r="F189" s="8" t="n">
        <x:f>E189-D189</x:f>
        <x:v>8951</x:v>
      </x:c>
      <x:c r="G189" s="9" t="n">
        <x:f>IF(D189=0,"n.a.",F189/D189)</x:f>
        <x:v>0.20156732046749387</x:v>
      </x:c>
      <x:c r="H189" s="9" t="n">
        <x:f>D189/SUMIFS($D$6:$D$449,$A$6:$A$449,A189,$B$6:$B$449,B189)</x:f>
        <x:v>0.005456917118931596</x:v>
      </x:c>
      <x:c r="I189" s="9" t="n">
        <x:f>E189/SUMIFS($E$6:$E$449,$A$6:$A$449,A189,$B$6:$B$449,B189)</x:f>
        <x:v>0.008785863713566155</x:v>
      </x:c>
      <x:c r="J189" s="10" t="n">
        <x:f>(I189-H189)*100</x:f>
        <x:v>0.332894659463456</x:v>
      </x:c>
      <x:c r="K189" s="2" t="n">
        <x:v>28</x:v>
      </x:c>
      <x:c r="L189" s="2" t="n">
        <x:v>22</x:v>
      </x:c>
      <x:c r="M189" s="2" t="n">
        <x:f>IF(OR(K189="",L189=""),"n.a.",K189-L189)</x:f>
        <x:v>6</x:v>
      </x:c>
    </x:row>
    <x:row r="190" ht="22" customHeight="1">
      <x:c r="A190" s="2" t="str">
        <x:v>全样本</x:v>
      </x:c>
      <x:c r="B190" s="2" t="str">
        <x:v>H12026</x:v>
      </x:c>
      <x:c r="C190" s="2" t="str">
        <x:v>埃安</x:v>
      </x:c>
      <x:c r="D190" s="8" t="n">
        <x:v>77264</x:v>
      </x:c>
      <x:c r="E190" s="8" t="n">
        <x:v>49295</x:v>
      </x:c>
      <x:c r="F190" s="8" t="n">
        <x:f>E190-D190</x:f>
        <x:v>-27969</x:v>
      </x:c>
      <x:c r="G190" s="9" t="n">
        <x:f>IF(D190=0,"n.a.",F190/D190)</x:f>
        <x:v>-0.36199264858148683</x:v>
      </x:c>
      <x:c r="H190" s="9" t="n">
        <x:f>D190/SUMIFS($D$6:$D$449,$A$6:$A$449,A190,$B$6:$B$449,B190)</x:f>
        <x:v>0.009494522131130922</x:v>
      </x:c>
      <x:c r="I190" s="9" t="n">
        <x:f>E190/SUMIFS($E$6:$E$449,$A$6:$A$449,A190,$B$6:$B$449,B190)</x:f>
        <x:v>0.008116855050043923</x:v>
      </x:c>
      <x:c r="J190" s="10" t="n">
        <x:f>(I190-H190)*100</x:f>
        <x:v>-0.1377667081086999</x:v>
      </x:c>
      <x:c r="K190" s="2" t="n">
        <x:v>20</x:v>
      </x:c>
      <x:c r="L190" s="2" t="n">
        <x:v>23</x:v>
      </x:c>
      <x:c r="M190" s="2" t="n">
        <x:f>IF(OR(K190="",L190=""),"n.a.",K190-L190)</x:f>
        <x:v>-3</x:v>
      </x:c>
    </x:row>
    <x:row r="191" ht="22" customHeight="1">
      <x:c r="A191" s="2" t="str">
        <x:v>全样本</x:v>
      </x:c>
      <x:c r="B191" s="2" t="str">
        <x:v>H12026</x:v>
      </x:c>
      <x:c r="C191" s="2" t="str">
        <x:v>现代</x:v>
      </x:c>
      <x:c r="D191" s="8" t="n">
        <x:v>58982</x:v>
      </x:c>
      <x:c r="E191" s="8" t="n">
        <x:v>47205</x:v>
      </x:c>
      <x:c r="F191" s="8" t="n">
        <x:f>E191-D191</x:f>
        <x:v>-11777</x:v>
      </x:c>
      <x:c r="G191" s="9" t="n">
        <x:f>IF(D191=0,"n.a.",F191/D191)</x:f>
        <x:v>-0.1996710860940626</x:v>
      </x:c>
      <x:c r="H191" s="9" t="n">
        <x:f>D191/SUMIFS($D$6:$D$449,$A$6:$A$449,A191,$B$6:$B$449,B191)</x:f>
        <x:v>0.0072479538250461275</x:v>
      </x:c>
      <x:c r="I191" s="9" t="n">
        <x:f>E191/SUMIFS($E$6:$E$449,$A$6:$A$449,A191,$B$6:$B$449,B191)</x:f>
        <x:v>0.007772718179071374</x:v>
      </x:c>
      <x:c r="J191" s="10" t="n">
        <x:f>(I191-H191)*100</x:f>
        <x:v>0.05247643540252463</x:v>
      </x:c>
      <x:c r="K191" s="2" t="n">
        <x:v>22</x:v>
      </x:c>
      <x:c r="L191" s="2" t="n">
        <x:v>24</x:v>
      </x:c>
      <x:c r="M191" s="2" t="n">
        <x:f>IF(OR(K191="",L191=""),"n.a.",K191-L191)</x:f>
        <x:v>-2</x:v>
      </x:c>
    </x:row>
    <x:row r="192" ht="22" customHeight="1">
      <x:c r="A192" s="2" t="str">
        <x:v>全样本</x:v>
      </x:c>
      <x:c r="B192" s="2" t="str">
        <x:v>H12026</x:v>
      </x:c>
      <x:c r="C192" s="2" t="str">
        <x:v>零跑汽车</x:v>
      </x:c>
      <x:c r="D192" s="8" t="n">
        <x:v>31820</x:v>
      </x:c>
      <x:c r="E192" s="8" t="n">
        <x:v>45610</x:v>
      </x:c>
      <x:c r="F192" s="8" t="n">
        <x:f>E192-D192</x:f>
        <x:v>13790</x:v>
      </x:c>
      <x:c r="G192" s="9" t="n">
        <x:f>IF(D192=0,"n.a.",F192/D192)</x:f>
        <x:v>0.4333752357008171</x:v>
      </x:c>
      <x:c r="H192" s="9" t="n">
        <x:f>D192/SUMIFS($D$6:$D$449,$A$6:$A$449,A192,$B$6:$B$449,B192)</x:f>
        <x:v>0.003910174133006134</x:v>
      </x:c>
      <x:c r="I192" s="9" t="n">
        <x:f>E192/SUMIFS($E$6:$E$449,$A$6:$A$449,A192,$B$6:$B$449,B192)</x:f>
        <x:v>0.0075100874091186395</x:v>
      </x:c>
      <x:c r="J192" s="10" t="n">
        <x:f>(I192-H192)*100</x:f>
        <x:v>0.3599913276112506</x:v>
      </x:c>
      <x:c r="K192" s="2" t="n">
        <x:v>33</x:v>
      </x:c>
      <x:c r="L192" s="2" t="n">
        <x:v>25</x:v>
      </x:c>
      <x:c r="M192" s="2" t="n">
        <x:f>IF(OR(K192="",L192=""),"n.a.",K192-L192)</x:f>
        <x:v>8</x:v>
      </x:c>
    </x:row>
    <x:row r="193" ht="22" customHeight="1">
      <x:c r="A193" s="2" t="str">
        <x:v>全样本</x:v>
      </x:c>
      <x:c r="B193" s="2" t="str">
        <x:v>H12026</x:v>
      </x:c>
      <x:c r="C193" s="2" t="str">
        <x:v>腾势</x:v>
      </x:c>
      <x:c r="D193" s="8" t="n">
        <x:v>57754</x:v>
      </x:c>
      <x:c r="E193" s="8" t="n">
        <x:v>44990</x:v>
      </x:c>
      <x:c r="F193" s="8" t="n">
        <x:f>E193-D193</x:f>
        <x:v>-12764</x:v>
      </x:c>
      <x:c r="G193" s="9" t="n">
        <x:f>IF(D193=0,"n.a.",F193/D193)</x:f>
        <x:v>-0.22100633722339577</x:v>
      </x:c>
      <x:c r="H193" s="9" t="n">
        <x:f>D193/SUMIFS($D$6:$D$449,$A$6:$A$449,A193,$B$6:$B$449,B193)</x:f>
        <x:v>0.0070970520703216924</x:v>
      </x:c>
      <x:c r="I193" s="9" t="n">
        <x:f>E193/SUMIFS($E$6:$E$449,$A$6:$A$449,A193,$B$6:$B$449,B193)</x:f>
        <x:v>0.007407998959356447</x:v>
      </x:c>
      <x:c r="J193" s="10" t="n">
        <x:f>(I193-H193)*100</x:f>
        <x:v>0.031094688903475498</x:v>
      </x:c>
      <x:c r="K193" s="2" t="n">
        <x:v>23</x:v>
      </x:c>
      <x:c r="L193" s="2" t="n">
        <x:v>26</x:v>
      </x:c>
      <x:c r="M193" s="2" t="n">
        <x:f>IF(OR(K193="",L193=""),"n.a.",K193-L193)</x:f>
        <x:v>-3</x:v>
      </x:c>
    </x:row>
    <x:row r="194" ht="22" customHeight="1">
      <x:c r="A194" s="2" t="str">
        <x:v>全样本</x:v>
      </x:c>
      <x:c r="B194" s="2" t="str">
        <x:v>H12026</x:v>
      </x:c>
      <x:c r="C194" s="2" t="str">
        <x:v>鸿蒙智行</x:v>
      </x:c>
      <x:c r="D194" s="8" t="n">
        <x:v>14206</x:v>
      </x:c>
      <x:c r="E194" s="8" t="n">
        <x:v>42803</x:v>
      </x:c>
      <x:c r="F194" s="8" t="n">
        <x:f>E194-D194</x:f>
        <x:v>28597</x:v>
      </x:c>
      <x:c r="G194" s="9" t="n">
        <x:f>IF(D194=0,"n.a.",F194/D194)</x:f>
        <x:v>2.0130226664789523</x:v>
      </x:c>
      <x:c r="H194" s="9" t="n">
        <x:f>D194/SUMIFS($D$6:$D$449,$A$6:$A$449,A194,$B$6:$B$449,B194)</x:f>
        <x:v>0.00174569244919815</x:v>
      </x:c>
      <x:c r="I194" s="9" t="n">
        <x:f>E194/SUMIFS($E$6:$E$449,$A$6:$A$449,A194,$B$6:$B$449,B194)</x:f>
        <x:v>0.007047890185759814</x:v>
      </x:c>
      <x:c r="J194" s="10" t="n">
        <x:f>(I194-H194)*100</x:f>
        <x:v>0.5302197736561663</x:v>
      </x:c>
      <x:c r="K194" s="2" t="n">
        <x:v>44</x:v>
      </x:c>
      <x:c r="L194" s="2" t="n">
        <x:v>27</x:v>
      </x:c>
      <x:c r="M194" s="2" t="n">
        <x:f>IF(OR(K194="",L194=""),"n.a.",K194-L194)</x:f>
        <x:v>17</x:v>
      </x:c>
    </x:row>
    <x:row r="195" ht="22" customHeight="1">
      <x:c r="A195" s="2" t="str">
        <x:v>全样本</x:v>
      </x:c>
      <x:c r="B195" s="2" t="str">
        <x:v>H12026</x:v>
      </x:c>
      <x:c r="C195" s="2" t="str">
        <x:v>荣威</x:v>
      </x:c>
      <x:c r="D195" s="8" t="n">
        <x:v>66002</x:v>
      </x:c>
      <x:c r="E195" s="8" t="n">
        <x:v>42801</x:v>
      </x:c>
      <x:c r="F195" s="8" t="n">
        <x:f>E195-D195</x:f>
        <x:v>-23201</x:v>
      </x:c>
      <x:c r="G195" s="9" t="n">
        <x:f>IF(D195=0,"n.a.",F195/D195)</x:f>
        <x:v>-0.3515196509196691</x:v>
      </x:c>
      <x:c r="H195" s="9" t="n">
        <x:f>D195/SUMIFS($D$6:$D$449,$A$6:$A$449,A195,$B$6:$B$449,B195)</x:f>
        <x:v>0.008110600663943144</x:v>
      </x:c>
      <x:c r="I195" s="9" t="n">
        <x:f>E195/SUMIFS($E$6:$E$449,$A$6:$A$449,A195,$B$6:$B$449,B195)</x:f>
        <x:v>0.0070475608681799355</x:v>
      </x:c>
      <x:c r="J195" s="10" t="n">
        <x:f>(I195-H195)*100</x:f>
        <x:v>-0.10630397957632087</x:v>
      </x:c>
      <x:c r="K195" s="2" t="n">
        <x:v>21</x:v>
      </x:c>
      <x:c r="L195" s="2" t="n">
        <x:v>28</x:v>
      </x:c>
      <x:c r="M195" s="2" t="n">
        <x:f>IF(OR(K195="",L195=""),"n.a.",K195-L195)</x:f>
        <x:v>-7</x:v>
      </x:c>
    </x:row>
    <x:row r="196" ht="22" customHeight="1">
      <x:c r="A196" s="2" t="str">
        <x:v>全样本</x:v>
      </x:c>
      <x:c r="B196" s="2" t="str">
        <x:v>H12026</x:v>
      </x:c>
      <x:c r="C196" s="2" t="str">
        <x:v>凯迪拉克</x:v>
      </x:c>
      <x:c r="D196" s="8" t="n">
        <x:v>44006</x:v>
      </x:c>
      <x:c r="E196" s="8" t="n">
        <x:v>38730</x:v>
      </x:c>
      <x:c r="F196" s="8" t="n">
        <x:f>E196-D196</x:f>
        <x:v>-5276</x:v>
      </x:c>
      <x:c r="G196" s="9" t="n">
        <x:f>IF(D196=0,"n.a.",F196/D196)</x:f>
        <x:v>-0.11989274189883198</x:v>
      </x:c>
      <x:c r="H196" s="9" t="n">
        <x:f>D196/SUMIFS($D$6:$D$449,$A$6:$A$449,A196,$B$6:$B$449,B196)</x:f>
        <x:v>0.0054076405687324925</x:v>
      </x:c>
      <x:c r="I196" s="9" t="n">
        <x:f>E196/SUMIFS($E$6:$E$449,$A$6:$A$449,A196,$B$6:$B$449,B196)</x:f>
        <x:v>0.006377234934338191</x:v>
      </x:c>
      <x:c r="J196" s="10" t="n">
        <x:f>(I196-H196)*100</x:f>
        <x:v>0.09695943656056984</x:v>
      </x:c>
      <x:c r="K196" s="2" t="n">
        <x:v>29</x:v>
      </x:c>
      <x:c r="L196" s="2" t="n">
        <x:v>29</x:v>
      </x:c>
      <x:c r="M196" s="2" t="n">
        <x:f>IF(OR(K196="",L196=""),"n.a.",K196-L196)</x:f>
        <x:v>0</x:v>
      </x:c>
    </x:row>
    <x:row r="197" ht="22" customHeight="1">
      <x:c r="A197" s="2" t="str">
        <x:v>全样本</x:v>
      </x:c>
      <x:c r="B197" s="2" t="str">
        <x:v>H12026</x:v>
      </x:c>
      <x:c r="C197" s="2" t="str">
        <x:v>奔腾</x:v>
      </x:c>
      <x:c r="D197" s="8" t="n">
        <x:v>52931</x:v>
      </x:c>
      <x:c r="E197" s="8" t="n">
        <x:v>38466</x:v>
      </x:c>
      <x:c r="F197" s="8" t="n">
        <x:f>E197-D197</x:f>
        <x:v>-14465</x:v>
      </x:c>
      <x:c r="G197" s="9" t="n">
        <x:f>IF(D197=0,"n.a.",F197/D197)</x:f>
        <x:v>-0.27328030832593375</x:v>
      </x:c>
      <x:c r="H197" s="9" t="n">
        <x:f>D197/SUMIFS($D$6:$D$449,$A$6:$A$449,A197,$B$6:$B$449,B197)</x:f>
        <x:v>0.00650438174211652</x:v>
      </x:c>
      <x:c r="I197" s="9" t="n">
        <x:f>E197/SUMIFS($E$6:$E$449,$A$6:$A$449,A197,$B$6:$B$449,B197)</x:f>
        <x:v>0.00633376501379429</x:v>
      </x:c>
      <x:c r="J197" s="10" t="n">
        <x:f>(I197-H197)*100</x:f>
        <x:v>-0.017061672832222995</x:v>
      </x:c>
      <x:c r="K197" s="2" t="n">
        <x:v>25</x:v>
      </x:c>
      <x:c r="L197" s="2" t="n">
        <x:v>30</x:v>
      </x:c>
      <x:c r="M197" s="2" t="n">
        <x:f>IF(OR(K197="",L197=""),"n.a.",K197-L197)</x:f>
        <x:v>-5</x:v>
      </x:c>
    </x:row>
    <x:row r="198" ht="22" customHeight="1">
      <x:c r="A198" s="2" t="str">
        <x:v>全样本</x:v>
      </x:c>
      <x:c r="B198" s="2" t="str">
        <x:v>H12026</x:v>
      </x:c>
      <x:c r="C198" s="2" t="str">
        <x:v>起亚</x:v>
      </x:c>
      <x:c r="D198" s="8" t="n">
        <x:v>37577</x:v>
      </x:c>
      <x:c r="E198" s="8" t="n">
        <x:v>35968</x:v>
      </x:c>
      <x:c r="F198" s="8" t="n">
        <x:f>E198-D198</x:f>
        <x:v>-1609</x:v>
      </x:c>
      <x:c r="G198" s="9" t="n">
        <x:f>IF(D198=0,"n.a.",F198/D198)</x:f>
        <x:v>-0.042818745509221066</x:v>
      </x:c>
      <x:c r="H198" s="9" t="n">
        <x:f>D198/SUMIFS($D$6:$D$449,$A$6:$A$449,A198,$B$6:$B$449,B198)</x:f>
        <x:v>0.004617618271400738</x:v>
      </x:c>
      <x:c r="I198" s="9" t="n">
        <x:f>E198/SUMIFS($E$6:$E$449,$A$6:$A$449,A198,$B$6:$B$449,B198)</x:f>
        <x:v>0.0059224473565266215</x:v>
      </x:c>
      <x:c r="J198" s="10" t="n">
        <x:f>(I198-H198)*100</x:f>
        <x:v>0.13048290851258834</x:v>
      </x:c>
      <x:c r="K198" s="2" t="n">
        <x:v>30</x:v>
      </x:c>
      <x:c r="L198" s="2" t="n">
        <x:v>31</x:v>
      </x:c>
      <x:c r="M198" s="2" t="n">
        <x:f>IF(OR(K198="",L198=""),"n.a.",K198-L198)</x:f>
        <x:v>-1</x:v>
      </x:c>
    </x:row>
    <x:row r="199" ht="22" customHeight="1">
      <x:c r="A199" s="2" t="str">
        <x:v>全样本</x:v>
      </x:c>
      <x:c r="B199" s="2" t="str">
        <x:v>H12026</x:v>
      </x:c>
      <x:c r="C199" s="2" t="str">
        <x:v>深蓝汽车</x:v>
      </x:c>
      <x:c r="D199" s="8" t="n">
        <x:v>27470</x:v>
      </x:c>
      <x:c r="E199" s="8" t="n">
        <x:v>34369</x:v>
      </x:c>
      <x:c r="F199" s="8" t="n">
        <x:f>E199-D199</x:f>
        <x:v>6899</x:v>
      </x:c>
      <x:c r="G199" s="9" t="n">
        <x:f>IF(D199=0,"n.a.",F199/D199)</x:f>
        <x:v>0.2511467054969057</x:v>
      </x:c>
      <x:c r="H199" s="9" t="n">
        <x:f>D199/SUMIFS($D$6:$D$449,$A$6:$A$449,A199,$B$6:$B$449,B199)</x:f>
        <x:v>0.0033756280148861876</x:v>
      </x:c>
      <x:c r="I199" s="9" t="n">
        <x:f>E199/SUMIFS($E$6:$E$449,$A$6:$A$449,A199,$B$6:$B$449,B199)</x:f>
        <x:v>0.005659157951414131</x:v>
      </x:c>
      <x:c r="J199" s="10" t="n">
        <x:f>(I199-H199)*100</x:f>
        <x:v>0.22835299365279435</x:v>
      </x:c>
      <x:c r="K199" s="2" t="n">
        <x:v>36</x:v>
      </x:c>
      <x:c r="L199" s="2" t="n">
        <x:v>32</x:v>
      </x:c>
      <x:c r="M199" s="2" t="n">
        <x:f>IF(OR(K199="",L199=""),"n.a.",K199-L199)</x:f>
        <x:v>4</x:v>
      </x:c>
    </x:row>
    <x:row r="200" ht="22" customHeight="1">
      <x:c r="A200" s="2" t="str">
        <x:v>全样本</x:v>
      </x:c>
      <x:c r="B200" s="2" t="str">
        <x:v>H12026</x:v>
      </x:c>
      <x:c r="C200" s="2" t="str">
        <x:v>魏牌</x:v>
      </x:c>
      <x:c r="D200" s="8" t="n">
        <x:v>9623</x:v>
      </x:c>
      <x:c r="E200" s="8" t="n">
        <x:v>34227</x:v>
      </x:c>
      <x:c r="F200" s="8" t="n">
        <x:f>E200-D200</x:f>
        <x:v>24604</x:v>
      </x:c>
      <x:c r="G200" s="9" t="n">
        <x:f>IF(D200=0,"n.a.",F200/D200)</x:f>
        <x:v>2.5567910215109633</x:v>
      </x:c>
      <x:c r="H200" s="9" t="n">
        <x:f>D200/SUMIFS($D$6:$D$449,$A$6:$A$449,A200,$B$6:$B$449,B200)</x:f>
        <x:v>0.0011825143206133887</x:v>
      </x:c>
      <x:c r="I200" s="9" t="n">
        <x:f>E200/SUMIFS($E$6:$E$449,$A$6:$A$449,A200,$B$6:$B$449,B200)</x:f>
        <x:v>0.00563577640324279</x:v>
      </x:c>
      <x:c r="J200" s="10" t="n">
        <x:f>(I200-H200)*100</x:f>
        <x:v>0.4453262082629401</x:v>
      </x:c>
      <x:c r="K200" s="2" t="n">
        <x:v>51</x:v>
      </x:c>
      <x:c r="L200" s="2" t="n">
        <x:v>33</x:v>
      </x:c>
      <x:c r="M200" s="2" t="n">
        <x:f>IF(OR(K200="",L200=""),"n.a.",K200-L200)</x:f>
        <x:v>18</x:v>
      </x:c>
    </x:row>
    <x:row r="201" ht="22" customHeight="1">
      <x:c r="A201" s="2" t="str">
        <x:v>全样本</x:v>
      </x:c>
      <x:c r="B201" s="2" t="str">
        <x:v>H12026</x:v>
      </x:c>
      <x:c r="C201" s="2" t="str">
        <x:v>岚图汽车</x:v>
      </x:c>
      <x:c r="D201" s="8" t="n">
        <x:v>37057</x:v>
      </x:c>
      <x:c r="E201" s="8" t="n">
        <x:v>32612</x:v>
      </x:c>
      <x:c r="F201" s="8" t="n">
        <x:f>E201-D201</x:f>
        <x:v>-4445</x:v>
      </x:c>
      <x:c r="G201" s="9" t="n">
        <x:f>IF(D201=0,"n.a.",F201/D201)</x:f>
        <x:v>-0.1199503467630947</x:v>
      </x:c>
      <x:c r="H201" s="9" t="n">
        <x:f>D201/SUMIFS($D$6:$D$449,$A$6:$A$449,A201,$B$6:$B$449,B201)</x:f>
        <x:v>0.004553718505556515</x:v>
      </x:c>
      <x:c r="I201" s="9" t="n">
        <x:f>E201/SUMIFS($E$6:$E$449,$A$6:$A$449,A201,$B$6:$B$449,B201)</x:f>
        <x:v>0.005369852457491275</x:v>
      </x:c>
      <x:c r="J201" s="10" t="n">
        <x:f>(I201-H201)*100</x:f>
        <x:v>0.08161339519347603</x:v>
      </x:c>
      <x:c r="K201" s="2" t="n">
        <x:v>31</x:v>
      </x:c>
      <x:c r="L201" s="2" t="n">
        <x:v>34</x:v>
      </x:c>
      <x:c r="M201" s="2" t="n">
        <x:f>IF(OR(K201="",L201=""),"n.a.",K201-L201)</x:f>
        <x:v>-3</x:v>
      </x:c>
    </x:row>
    <x:row r="202" ht="22" customHeight="1">
      <x:c r="A202" s="2" t="str">
        <x:v>全样本</x:v>
      </x:c>
      <x:c r="B202" s="2" t="str">
        <x:v>H12026</x:v>
      </x:c>
      <x:c r="C202" s="2" t="str">
        <x:v>奇瑞新能源</x:v>
      </x:c>
      <x:c r="D202" s="8" t="n">
        <x:v>15246</x:v>
      </x:c>
      <x:c r="E202" s="8" t="n">
        <x:v>32490</x:v>
      </x:c>
      <x:c r="F202" s="8" t="n">
        <x:f>E202-D202</x:f>
        <x:v>17244</x:v>
      </x:c>
      <x:c r="G202" s="9" t="n">
        <x:f>IF(D202=0,"n.a.",F202/D202)</x:f>
        <x:v>1.1310507674144037</x:v>
      </x:c>
      <x:c r="H202" s="9" t="n">
        <x:f>D202/SUMIFS($D$6:$D$449,$A$6:$A$449,A202,$B$6:$B$449,B202)</x:f>
        <x:v>0.001873491980886597</x:v>
      </x:c>
      <x:c r="I202" s="9" t="n">
        <x:f>E202/SUMIFS($E$6:$E$449,$A$6:$A$449,A202,$B$6:$B$449,B202)</x:f>
        <x:v>0.005349764085118715</x:v>
      </x:c>
      <x:c r="J202" s="10" t="n">
        <x:f>(I202-H202)*100</x:f>
        <x:v>0.3476272104232118</x:v>
      </x:c>
      <x:c r="K202" s="2" t="n">
        <x:v>43</x:v>
      </x:c>
      <x:c r="L202" s="2" t="n">
        <x:v>35</x:v>
      </x:c>
      <x:c r="M202" s="2" t="n">
        <x:f>IF(OR(K202="",L202=""),"n.a.",K202-L202)</x:f>
        <x:v>8</x:v>
      </x:c>
    </x:row>
    <x:row r="203" ht="22" customHeight="1">
      <x:c r="A203" s="2" t="str">
        <x:v>全样本</x:v>
      </x:c>
      <x:c r="B203" s="2" t="str">
        <x:v>H12026</x:v>
      </x:c>
      <x:c r="C203" s="2" t="str">
        <x:v>极氪</x:v>
      </x:c>
      <x:c r="D203" s="8" t="n">
        <x:v>30364</x:v>
      </x:c>
      <x:c r="E203" s="8" t="n">
        <x:v>29944</x:v>
      </x:c>
      <x:c r="F203" s="8" t="n">
        <x:f>E203-D203</x:f>
        <x:v>-420</x:v>
      </x:c>
      <x:c r="G203" s="9" t="n">
        <x:f>IF(D203=0,"n.a.",F203/D203)</x:f>
        <x:v>-0.013832169674614675</x:v>
      </x:c>
      <x:c r="H203" s="9" t="n">
        <x:f>D203/SUMIFS($D$6:$D$449,$A$6:$A$449,A203,$B$6:$B$449,B203)</x:f>
        <x:v>0.003731254788642308</x:v>
      </x:c>
      <x:c r="I203" s="9" t="n">
        <x:f>E203/SUMIFS($E$6:$E$449,$A$6:$A$449,A203,$B$6:$B$449,B203)</x:f>
        <x:v>0.004930542805933974</x:v>
      </x:c>
      <x:c r="J203" s="10" t="n">
        <x:f>(I203-H203)*100</x:f>
        <x:v>0.11992880172916656</x:v>
      </x:c>
      <x:c r="K203" s="2" t="n">
        <x:v>35</x:v>
      </x:c>
      <x:c r="L203" s="2" t="n">
        <x:v>36</x:v>
      </x:c>
      <x:c r="M203" s="2" t="n">
        <x:f>IF(OR(K203="",L203=""),"n.a.",K203-L203)</x:f>
        <x:v>-1</x:v>
      </x:c>
    </x:row>
    <x:row r="204" ht="22" customHeight="1">
      <x:c r="A204" s="2" t="str">
        <x:v>全样本</x:v>
      </x:c>
      <x:c r="B204" s="2" t="str">
        <x:v>H12026</x:v>
      </x:c>
      <x:c r="C204" s="2" t="str">
        <x:v>firefly萤火虫</x:v>
      </x:c>
      <x:c r="D204" s="8" t="n">
        <x:v>7843</x:v>
      </x:c>
      <x:c r="E204" s="8" t="n">
        <x:v>28951</x:v>
      </x:c>
      <x:c r="F204" s="8" t="n">
        <x:f>E204-D204</x:f>
        <x:v>21108</x:v>
      </x:c>
      <x:c r="G204" s="9" t="n">
        <x:f>IF(D204=0,"n.a.",F204/D204)</x:f>
        <x:v>2.691317098049216</x:v>
      </x:c>
      <x:c r="H204" s="9" t="n">
        <x:f>D204/SUMIFS($D$6:$D$449,$A$6:$A$449,A204,$B$6:$B$449,B204)</x:f>
        <x:v>0.0009637805067620084</x:v>
      </x:c>
      <x:c r="I204" s="9" t="n">
        <x:f>E204/SUMIFS($E$6:$E$449,$A$6:$A$449,A204,$B$6:$B$449,B204)</x:f>
        <x:v>0.004767036627524528</x:v>
      </x:c>
      <x:c r="J204" s="10" t="n">
        <x:f>(I204-H204)*100</x:f>
        <x:v>0.38032561207625193</x:v>
      </x:c>
      <x:c r="K204" s="2" t="n">
        <x:v>57</x:v>
      </x:c>
      <x:c r="L204" s="2" t="n">
        <x:v>37</x:v>
      </x:c>
      <x:c r="M204" s="2" t="n">
        <x:f>IF(OR(K204="",L204=""),"n.a.",K204-L204)</x:f>
        <x:v>20</x:v>
      </x:c>
    </x:row>
    <x:row r="205" ht="22" customHeight="1">
      <x:c r="A205" s="2" t="str">
        <x:v>全样本</x:v>
      </x:c>
      <x:c r="B205" s="2" t="str">
        <x:v>H12026</x:v>
      </x:c>
      <x:c r="C205" s="2" t="str">
        <x:v>福特</x:v>
      </x:c>
      <x:c r="D205" s="8" t="n">
        <x:v>49776</x:v>
      </x:c>
      <x:c r="E205" s="8" t="n">
        <x:v>28800</x:v>
      </x:c>
      <x:c r="F205" s="8" t="n">
        <x:f>E205-D205</x:f>
        <x:v>-20976</x:v>
      </x:c>
      <x:c r="G205" s="9" t="n">
        <x:f>IF(D205=0,"n.a.",F205/D205)</x:f>
        <x:v>-0.4214079074252652</x:v>
      </x:c>
      <x:c r="H205" s="9" t="n">
        <x:f>D205/SUMIFS($D$6:$D$449,$A$6:$A$449,A205,$B$6:$B$449,B205)</x:f>
        <x:v>0.006116682201273203</x:v>
      </x:c>
      <x:c r="I205" s="9" t="n">
        <x:f>E205/SUMIFS($E$6:$E$449,$A$6:$A$449,A205,$B$6:$B$449,B205)</x:f>
        <x:v>0.004742173150243736</x:v>
      </x:c>
      <x:c r="J205" s="10" t="n">
        <x:f>(I205-H205)*100</x:f>
        <x:v>-0.13745090510294666</x:v>
      </x:c>
      <x:c r="K205" s="2" t="n">
        <x:v>27</x:v>
      </x:c>
      <x:c r="L205" s="2" t="n">
        <x:v>38</x:v>
      </x:c>
      <x:c r="M205" s="2" t="n">
        <x:f>IF(OR(K205="",L205=""),"n.a.",K205-L205)</x:f>
        <x:v>-11</x:v>
      </x:c>
    </x:row>
    <x:row r="206" ht="22" customHeight="1">
      <x:c r="A206" s="2" t="str">
        <x:v>全样本</x:v>
      </x:c>
      <x:c r="B206" s="2" t="str">
        <x:v>H12026</x:v>
      </x:c>
      <x:c r="C206" s="2" t="str">
        <x:v>长安启源</x:v>
      </x:c>
      <x:c r="D206" s="8" t="n">
        <x:v>115269</x:v>
      </x:c>
      <x:c r="E206" s="8" t="n">
        <x:v>21131</x:v>
      </x:c>
      <x:c r="F206" s="8" t="n">
        <x:f>E206-D206</x:f>
        <x:v>-94138</x:v>
      </x:c>
      <x:c r="G206" s="9" t="n">
        <x:f>IF(D206=0,"n.a.",F206/D206)</x:f>
        <x:v>-0.8166809810096384</x:v>
      </x:c>
      <x:c r="H206" s="9" t="n">
        <x:f>D206/SUMIFS($D$6:$D$449,$A$6:$A$449,A206,$B$6:$B$449,B206)</x:f>
        <x:v>0.014164734825188059</x:v>
      </x:c>
      <x:c r="I206" s="9" t="n">
        <x:f>E206/SUMIFS($E$6:$E$449,$A$6:$A$449,A206,$B$6:$B$449,B206)</x:f>
        <x:v>0.0034794048902014024</x:v>
      </x:c>
      <x:c r="J206" s="10" t="n">
        <x:f>(I206-H206)*100</x:f>
        <x:v>-1.0685329934986656</x:v>
      </x:c>
      <x:c r="K206" s="2" t="n">
        <x:v>19</x:v>
      </x:c>
      <x:c r="L206" s="2" t="n">
        <x:v>39</x:v>
      </x:c>
      <x:c r="M206" s="2" t="n">
        <x:f>IF(OR(K206="",L206=""),"n.a.",K206-L206)</x:f>
        <x:v>-20</x:v>
      </x:c>
    </x:row>
    <x:row r="207" ht="22" customHeight="1">
      <x:c r="A207" s="2" t="str">
        <x:v>全样本</x:v>
      </x:c>
      <x:c r="B207" s="2" t="str">
        <x:v>H12026</x:v>
      </x:c>
      <x:c r="C207" s="2" t="str">
        <x:v>沃尔沃</x:v>
      </x:c>
      <x:c r="D207" s="8" t="n">
        <x:v>22613</x:v>
      </x:c>
      <x:c r="E207" s="8" t="n">
        <x:v>19244</x:v>
      </x:c>
      <x:c r="F207" s="8" t="n">
        <x:f>E207-D207</x:f>
        <x:v>-3369</x:v>
      </x:c>
      <x:c r="G207" s="9" t="n">
        <x:f>IF(D207=0,"n.a.",F207/D207)</x:f>
        <x:v>-0.1489850970680582</x:v>
      </x:c>
      <x:c r="H207" s="9" t="n">
        <x:f>D207/SUMIFS($D$6:$D$449,$A$6:$A$449,A207,$B$6:$B$449,B207)</x:f>
        <x:v>0.002778779625068124</x:v>
      </x:c>
      <x:c r="I207" s="9" t="n">
        <x:f>E207/SUMIFS($E$6:$E$449,$A$6:$A$449,A207,$B$6:$B$449,B207)</x:f>
        <x:v>0.0031686937535864742</x:v>
      </x:c>
      <x:c r="J207" s="10" t="n">
        <x:f>(I207-H207)*100</x:f>
        <x:v>0.038991412851835036</x:v>
      </x:c>
      <x:c r="K207" s="2" t="n">
        <x:v>38</x:v>
      </x:c>
      <x:c r="L207" s="2" t="n">
        <x:v>40</x:v>
      </x:c>
      <x:c r="M207" s="2" t="n">
        <x:f>IF(OR(K207="",L207=""),"n.a.",K207-L207)</x:f>
        <x:v>-2</x:v>
      </x:c>
    </x:row>
    <x:row r="208" ht="22" customHeight="1">
      <x:c r="A208" s="2" t="str">
        <x:v>全样本</x:v>
      </x:c>
      <x:c r="B208" s="2" t="str">
        <x:v>H12026</x:v>
      </x:c>
      <x:c r="C208" s="2" t="str">
        <x:v>东风风行</x:v>
      </x:c>
      <x:c r="D208" s="8" t="n">
        <x:v>15743</x:v>
      </x:c>
      <x:c r="E208" s="8" t="n">
        <x:v>18318</x:v>
      </x:c>
      <x:c r="F208" s="8" t="n">
        <x:f>E208-D208</x:f>
        <x:v>2575</x:v>
      </x:c>
      <x:c r="G208" s="9" t="n">
        <x:f>IF(D208=0,"n.a.",F208/D208)</x:f>
        <x:v>0.16356475894048148</x:v>
      </x:c>
      <x:c r="H208" s="9" t="n">
        <x:f>D208/SUMIFS($D$6:$D$449,$A$6:$A$449,A208,$B$6:$B$449,B208)</x:f>
        <x:v>0.0019345654109338643</x:v>
      </x:c>
      <x:c r="I208" s="9" t="n">
        <x:f>E208/SUMIFS($E$6:$E$449,$A$6:$A$449,A208,$B$6:$B$449,B208)</x:f>
        <x:v>0.003016219714102943</x:v>
      </x:c>
      <x:c r="J208" s="10" t="n">
        <x:f>(I208-H208)*100</x:f>
        <x:v>0.10816543031690788</x:v>
      </x:c>
      <x:c r="K208" s="2" t="n">
        <x:v>42</x:v>
      </x:c>
      <x:c r="L208" s="2" t="n">
        <x:v>41</x:v>
      </x:c>
      <x:c r="M208" s="2" t="n">
        <x:f>IF(OR(K208="",L208=""),"n.a.",K208-L208)</x:f>
        <x:v>1</x:v>
      </x:c>
    </x:row>
    <x:row r="209" ht="22" customHeight="1">
      <x:c r="A209" s="2" t="str">
        <x:v>全样本</x:v>
      </x:c>
      <x:c r="B209" s="2" t="str">
        <x:v>H12026</x:v>
      </x:c>
      <x:c r="C209" s="2" t="str">
        <x:v>蔚来</x:v>
      </x:c>
      <x:c r="D209" s="8" t="n">
        <x:v>31731</x:v>
      </x:c>
      <x:c r="E209" s="8" t="n">
        <x:v>16463</x:v>
      </x:c>
      <x:c r="F209" s="8" t="n">
        <x:f>E209-D209</x:f>
        <x:v>-15268</x:v>
      </x:c>
      <x:c r="G209" s="9" t="n">
        <x:f>IF(D209=0,"n.a.",F209/D209)</x:f>
        <x:v>-0.48116983391635937</x:v>
      </x:c>
      <x:c r="H209" s="9" t="n">
        <x:f>D209/SUMIFS($D$6:$D$449,$A$6:$A$449,A209,$B$6:$B$449,B209)</x:f>
        <x:v>0.003899237442313565</x:v>
      </x:c>
      <x:c r="I209" s="9" t="n">
        <x:f>E209/SUMIFS($E$6:$E$449,$A$6:$A$449,A209,$B$6:$B$449,B209)</x:f>
        <x:v>0.0027107776587660636</x:v>
      </x:c>
      <x:c r="J209" s="10" t="n">
        <x:f>(I209-H209)*100</x:f>
        <x:v>-0.11884597835475014</x:v>
      </x:c>
      <x:c r="K209" s="2" t="n">
        <x:v>34</x:v>
      </x:c>
      <x:c r="L209" s="2" t="n">
        <x:v>42</x:v>
      </x:c>
      <x:c r="M209" s="2" t="n">
        <x:f>IF(OR(K209="",L209=""),"n.a.",K209-L209)</x:f>
        <x:v>-8</x:v>
      </x:c>
    </x:row>
    <x:row r="210" ht="22" customHeight="1">
      <x:c r="A210" s="2" t="str">
        <x:v>全样本</x:v>
      </x:c>
      <x:c r="B210" s="2" t="str">
        <x:v>H12026</x:v>
      </x:c>
      <x:c r="C210" s="2" t="str">
        <x:v>捷达</x:v>
      </x:c>
      <x:c r="D210" s="8" t="n">
        <x:v>18973</x:v>
      </x:c>
      <x:c r="E210" s="8" t="n">
        <x:v>14636</x:v>
      </x:c>
      <x:c r="F210" s="8" t="n">
        <x:f>E210-D210</x:f>
        <x:v>-4337</x:v>
      </x:c>
      <x:c r="G210" s="9" t="n">
        <x:f>IF(D210=0,"n.a.",F210/D210)</x:f>
        <x:v>-0.2285879934643968</x:v>
      </x:c>
      <x:c r="H210" s="9" t="n">
        <x:f>D210/SUMIFS($D$6:$D$449,$A$6:$A$449,A210,$B$6:$B$449,B210)</x:f>
        <x:v>0.00233148126415856</x:v>
      </x:c>
      <x:c r="I210" s="9" t="n">
        <x:f>E210/SUMIFS($E$6:$E$449,$A$6:$A$449,A210,$B$6:$B$449,B210)</x:f>
        <x:v>0.0024099460495474764</x:v>
      </x:c>
      <x:c r="J210" s="10" t="n">
        <x:f>(I210-H210)*100</x:f>
        <x:v>0.007846478538891654</x:v>
      </x:c>
      <x:c r="K210" s="2" t="n">
        <x:v>40</x:v>
      </x:c>
      <x:c r="L210" s="2" t="n">
        <x:v>43</x:v>
      </x:c>
      <x:c r="M210" s="2" t="n">
        <x:f>IF(OR(K210="",L210=""),"n.a.",K210-L210)</x:f>
        <x:v>-3</x:v>
      </x:c>
    </x:row>
    <x:row r="211" ht="22" customHeight="1">
      <x:c r="A211" s="2" t="str">
        <x:v>全样本</x:v>
      </x:c>
      <x:c r="B211" s="2" t="str">
        <x:v>H12026</x:v>
      </x:c>
      <x:c r="C211" s="2" t="str">
        <x:v>阿维塔</x:v>
      </x:c>
      <x:c r="D211" s="8" t="n">
        <x:v>27161</x:v>
      </x:c>
      <x:c r="E211" s="8" t="n">
        <x:v>14285</x:v>
      </x:c>
      <x:c r="F211" s="8" t="n">
        <x:f>E211-D211</x:f>
        <x:v>-12876</x:v>
      </x:c>
      <x:c r="G211" s="9" t="n">
        <x:f>IF(D211=0,"n.a.",F211/D211)</x:f>
        <x:v>-0.47406207429770625</x:v>
      </x:c>
      <x:c r="H211" s="9" t="n">
        <x:f>D211/SUMIFS($D$6:$D$449,$A$6:$A$449,A211,$B$6:$B$449,B211)</x:f>
        <x:v>0.003337656807874909</x:v>
      </x:c>
      <x:c r="I211" s="9" t="n">
        <x:f>E211/SUMIFS($E$6:$E$449,$A$6:$A$449,A211,$B$6:$B$449,B211)</x:f>
        <x:v>0.0023521508142788808</x:v>
      </x:c>
      <x:c r="J211" s="10" t="n">
        <x:f>(I211-H211)*100</x:f>
        <x:v>-0.09855059935960282</x:v>
      </x:c>
      <x:c r="K211" s="2" t="n">
        <x:v>37</x:v>
      </x:c>
      <x:c r="L211" s="2" t="n">
        <x:v>44</x:v>
      </x:c>
      <x:c r="M211" s="2" t="n">
        <x:f>IF(OR(K211="",L211=""),"n.a.",K211-L211)</x:f>
        <x:v>-7</x:v>
      </x:c>
    </x:row>
    <x:row r="212" ht="22" customHeight="1">
      <x:c r="A212" s="2" t="str">
        <x:v>全样本</x:v>
      </x:c>
      <x:c r="B212" s="2" t="str">
        <x:v>H12026</x:v>
      </x:c>
      <x:c r="C212" s="2" t="str">
        <x:v>东风纳米</x:v>
      </x:c>
      <x:c r="D212" s="8" t="n">
        <x:v>22291</x:v>
      </x:c>
      <x:c r="E212" s="8" t="n">
        <x:v>13439</x:v>
      </x:c>
      <x:c r="F212" s="8" t="n">
        <x:f>E212-D212</x:f>
        <x:v>-8852</x:v>
      </x:c>
      <x:c r="G212" s="9" t="n">
        <x:f>IF(D212=0,"n.a.",F212/D212)</x:f>
        <x:v>-0.3971109416356377</x:v>
      </x:c>
      <x:c r="H212" s="9" t="n">
        <x:f>D212/SUMIFS($D$6:$D$449,$A$6:$A$449,A212,$B$6:$B$449,B212)</x:f>
        <x:v>0.0027392109239107393</x:v>
      </x:c>
      <x:c r="I212" s="9" t="n">
        <x:f>E212/SUMIFS($E$6:$E$449,$A$6:$A$449,A212,$B$6:$B$449,B212)</x:f>
        <x:v>0.0022128494779904712</x:v>
      </x:c>
      <x:c r="J212" s="10" t="n">
        <x:f>(I212-H212)*100</x:f>
        <x:v>-0.05263614459202681</x:v>
      </x:c>
      <x:c r="K212" s="2" t="n">
        <x:v>39</x:v>
      </x:c>
      <x:c r="L212" s="2" t="n">
        <x:v>45</x:v>
      </x:c>
      <x:c r="M212" s="2" t="n">
        <x:f>IF(OR(K212="",L212=""),"n.a.",K212-L212)</x:f>
        <x:v>-6</x:v>
      </x:c>
    </x:row>
    <x:row r="213" ht="22" customHeight="1">
      <x:c r="A213" s="2" t="str">
        <x:v>全样本</x:v>
      </x:c>
      <x:c r="B213" s="2" t="str">
        <x:v>H12026</x:v>
      </x:c>
      <x:c r="C213" s="2" t="str">
        <x:v>奇瑞风云</x:v>
      </x:c>
      <x:c r="D213" s="8" t="n">
        <x:v>0</x:v>
      </x:c>
      <x:c r="E213" s="8" t="n">
        <x:v>13354</x:v>
      </x:c>
      <x:c r="F213" s="8" t="n">
        <x:f>E213-D213</x:f>
        <x:v>13354</x:v>
      </x:c>
      <x:c r="G213" s="9" t="str">
        <x:f>IF(D213=0,"n.a.",F213/D213)</x:f>
        <x:v>n.a.</x:v>
      </x:c>
      <x:c r="H213" s="9" t="n">
        <x:f>D213/SUMIFS($D$6:$D$449,$A$6:$A$449,A213,$B$6:$B$449,B213)</x:f>
        <x:v>0</x:v>
      </x:c>
      <x:c r="I213" s="9" t="n">
        <x:f>E213/SUMIFS($E$6:$E$449,$A$6:$A$449,A213,$B$6:$B$449,B213)</x:f>
        <x:v>0.0021988534808456547</x:v>
      </x:c>
      <x:c r="J213" s="10" t="n">
        <x:f>(I213-H213)*100</x:f>
        <x:v>0.21988534808456547</x:v>
      </x:c>
      <x:c r="K213" s="2"/>
      <x:c r="L213" s="2" t="n">
        <x:v>46</x:v>
      </x:c>
      <x:c r="M213" s="2" t="str">
        <x:f>IF(OR(K213="",L213=""),"n.a.",K213-L213)</x:f>
        <x:v>n.a.</x:v>
      </x:c>
    </x:row>
    <x:row r="214" ht="22" customHeight="1">
      <x:c r="A214" s="2" t="str">
        <x:v>全样本</x:v>
      </x:c>
      <x:c r="B214" s="2" t="str">
        <x:v>H12026</x:v>
      </x:c>
      <x:c r="C214" s="2" t="str">
        <x:v>马自达</x:v>
      </x:c>
      <x:c r="D214" s="8" t="n">
        <x:v>15861</x:v>
      </x:c>
      <x:c r="E214" s="8" t="n">
        <x:v>11782</x:v>
      </x:c>
      <x:c r="F214" s="8" t="n">
        <x:f>E214-D214</x:f>
        <x:v>-4079</x:v>
      </x:c>
      <x:c r="G214" s="9" t="n">
        <x:f>IF(D214=0,"n.a.",F214/D214)</x:f>
        <x:v>-0.2571716789609735</x:v>
      </x:c>
      <x:c r="H214" s="9" t="n">
        <x:f>D214/SUMIFS($D$6:$D$449,$A$6:$A$449,A214,$B$6:$B$449,B214)</x:f>
        <x:v>0.0019490657424138997</x:v>
      </x:c>
      <x:c r="I214" s="9" t="n">
        <x:f>E214/SUMIFS($E$6:$E$449,$A$6:$A$449,A214,$B$6:$B$449,B214)</x:f>
        <x:v>0.0019400098630615174</x:v>
      </x:c>
      <x:c r="J214" s="10" t="n">
        <x:f>(I214-H214)*100</x:f>
        <x:v>-0.000905587935238236</x:v>
      </x:c>
      <x:c r="K214" s="2" t="n">
        <x:v>41</x:v>
      </x:c>
      <x:c r="L214" s="2" t="n">
        <x:v>47</x:v>
      </x:c>
      <x:c r="M214" s="2" t="n">
        <x:f>IF(OR(K214="",L214=""),"n.a.",K214-L214)</x:f>
        <x:v>-6</x:v>
      </x:c>
    </x:row>
    <x:row r="215" ht="22" customHeight="1">
      <x:c r="A215" s="2" t="str">
        <x:v>全样本</x:v>
      </x:c>
      <x:c r="B215" s="2" t="str">
        <x:v>H12026</x:v>
      </x:c>
      <x:c r="C215" s="2" t="str">
        <x:v>北汽制造</x:v>
      </x:c>
      <x:c r="D215" s="8" t="n">
        <x:v>8715</x:v>
      </x:c>
      <x:c r="E215" s="8" t="n">
        <x:v>7284</x:v>
      </x:c>
      <x:c r="F215" s="8" t="n">
        <x:f>E215-D215</x:f>
        <x:v>-1431</x:v>
      </x:c>
      <x:c r="G215" s="9" t="n">
        <x:f>IF(D215=0,"n.a.",F215/D215)</x:f>
        <x:v>-0.16419965576592083</x:v>
      </x:c>
      <x:c r="H215" s="9" t="n">
        <x:f>D215/SUMIFS($D$6:$D$449,$A$6:$A$449,A215,$B$6:$B$449,B215)</x:f>
        <x:v>0.0010709354987161676</x:v>
      </x:c>
      <x:c r="I215" s="9" t="n">
        <x:f>E215/SUMIFS($E$6:$E$449,$A$6:$A$449,A215,$B$6:$B$449,B215)</x:f>
        <x:v>0.0011993746259158116</x:v>
      </x:c>
      <x:c r="J215" s="10" t="n">
        <x:f>(I215-H215)*100</x:f>
        <x:v>0.0128439127199644</x:v>
      </x:c>
      <x:c r="K215" s="2" t="n">
        <x:v>55</x:v>
      </x:c>
      <x:c r="L215" s="2" t="n">
        <x:v>48</x:v>
      </x:c>
      <x:c r="M215" s="2" t="n">
        <x:f>IF(OR(K215="",L215=""),"n.a.",K215-L215)</x:f>
        <x:v>7</x:v>
      </x:c>
    </x:row>
    <x:row r="216" ht="22" customHeight="1">
      <x:c r="A216" s="2" t="str">
        <x:v>全样本</x:v>
      </x:c>
      <x:c r="B216" s="2" t="str">
        <x:v>H12026</x:v>
      </x:c>
      <x:c r="C216" s="2" t="str">
        <x:v>标致</x:v>
      </x:c>
      <x:c r="D216" s="8" t="n">
        <x:v>11445</x:v>
      </x:c>
      <x:c r="E216" s="8" t="n">
        <x:v>6415</x:v>
      </x:c>
      <x:c r="F216" s="8" t="n">
        <x:f>E216-D216</x:f>
        <x:v>-5030</x:v>
      </x:c>
      <x:c r="G216" s="9" t="n">
        <x:f>IF(D216=0,"n.a.",F216/D216)</x:f>
        <x:v>-0.4394932284840542</x:v>
      </x:c>
      <x:c r="H216" s="9" t="n">
        <x:f>D216/SUMIFS($D$6:$D$449,$A$6:$A$449,A216,$B$6:$B$449,B216)</x:f>
        <x:v>0.0014064092693983406</x:v>
      </x:c>
      <x:c r="I216" s="9" t="n">
        <x:f>E216/SUMIFS($E$6:$E$449,$A$6:$A$449,A216,$B$6:$B$449,B216)</x:f>
        <x:v>0.0010562861374588044</x:v>
      </x:c>
      <x:c r="J216" s="10" t="n">
        <x:f>(I216-H216)*100</x:f>
        <x:v>-0.03501231319395363</x:v>
      </x:c>
      <x:c r="K216" s="2" t="n">
        <x:v>46</x:v>
      </x:c>
      <x:c r="L216" s="2" t="n">
        <x:v>49</x:v>
      </x:c>
      <x:c r="M216" s="2" t="n">
        <x:f>IF(OR(K216="",L216=""),"n.a.",K216-L216)</x:f>
        <x:v>-3</x:v>
      </x:c>
    </x:row>
    <x:row r="217" ht="22" customHeight="1">
      <x:c r="A217" s="2" t="str">
        <x:v>全样本</x:v>
      </x:c>
      <x:c r="B217" s="2" t="str">
        <x:v>H12026</x:v>
      </x:c>
      <x:c r="C217" s="2" t="str">
        <x:v>雪铁龙</x:v>
      </x:c>
      <x:c r="D217" s="8" t="n">
        <x:v>8410</x:v>
      </x:c>
      <x:c r="E217" s="8" t="n">
        <x:v>6400</x:v>
      </x:c>
      <x:c r="F217" s="8" t="n">
        <x:f>E217-D217</x:f>
        <x:v>-2010</x:v>
      </x:c>
      <x:c r="G217" s="9" t="n">
        <x:f>IF(D217=0,"n.a.",F217/D217)</x:f>
        <x:v>-0.2390011890606421</x:v>
      </x:c>
      <x:c r="H217" s="9" t="n">
        <x:f>D217/SUMIFS($D$6:$D$449,$A$6:$A$449,A217,$B$6:$B$449,B217)</x:f>
        <x:v>0.001033455828365229</x:v>
      </x:c>
      <x:c r="I217" s="9" t="n">
        <x:f>E217/SUMIFS($E$6:$E$449,$A$6:$A$449,A217,$B$6:$B$449,B217)</x:f>
        <x:v>0.0010538162556097191</x:v>
      </x:c>
      <x:c r="J217" s="10" t="n">
        <x:f>(I217-H217)*100</x:f>
        <x:v>0.0020360427244490087</x:v>
      </x:c>
      <x:c r="K217" s="2" t="n">
        <x:v>56</x:v>
      </x:c>
      <x:c r="L217" s="2" t="n">
        <x:v>50</x:v>
      </x:c>
      <x:c r="M217" s="2" t="n">
        <x:f>IF(OR(K217="",L217=""),"n.a.",K217-L217)</x:f>
        <x:v>6</x:v>
      </x:c>
    </x:row>
    <x:row r="218" ht="22" customHeight="1">
      <x:c r="A218" s="2" t="str">
        <x:v>全样本</x:v>
      </x:c>
      <x:c r="B218" s="2" t="str">
        <x:v>H12026</x:v>
      </x:c>
      <x:c r="C218" s="2" t="str">
        <x:v>东风奕派</x:v>
      </x:c>
      <x:c r="D218" s="8" t="n">
        <x:v>11710</x:v>
      </x:c>
      <x:c r="E218" s="8" t="n">
        <x:v>6100</x:v>
      </x:c>
      <x:c r="F218" s="8" t="n">
        <x:f>E218-D218</x:f>
        <x:v>-5610</x:v>
      </x:c>
      <x:c r="G218" s="9" t="n">
        <x:f>IF(D218=0,"n.a.",F218/D218)</x:f>
        <x:v>-0.47907771135781385</x:v>
      </x:c>
      <x:c r="H218" s="9" t="n">
        <x:f>D218/SUMIFS($D$6:$D$449,$A$6:$A$449,A218,$B$6:$B$449,B218)</x:f>
        <x:v>0.0014389735731458776</x:v>
      </x:c>
      <x:c r="I218" s="9" t="n">
        <x:f>E218/SUMIFS($E$6:$E$449,$A$6:$A$449,A218,$B$6:$B$449,B218)</x:f>
        <x:v>0.0010044186186280136</x:v>
      </x:c>
      <x:c r="J218" s="10" t="n">
        <x:f>(I218-H218)*100</x:f>
        <x:v>-0.043455495451786404</x:v>
      </x:c>
      <x:c r="K218" s="2" t="n">
        <x:v>45</x:v>
      </x:c>
      <x:c r="L218" s="2" t="n">
        <x:v>51</x:v>
      </x:c>
      <x:c r="M218" s="2" t="n">
        <x:f>IF(OR(K218="",L218=""),"n.a.",K218-L218)</x:f>
        <x:v>-6</x:v>
      </x:c>
    </x:row>
    <x:row r="219" ht="22" customHeight="1">
      <x:c r="A219" s="2" t="str">
        <x:v>全样本</x:v>
      </x:c>
      <x:c r="B219" s="2" t="str">
        <x:v>H12026</x:v>
      </x:c>
      <x:c r="C219" s="2" t="str">
        <x:v>智己汽车</x:v>
      </x:c>
      <x:c r="D219" s="8" t="n">
        <x:v>8753</x:v>
      </x:c>
      <x:c r="E219" s="8" t="n">
        <x:v>5748</x:v>
      </x:c>
      <x:c r="F219" s="8" t="n">
        <x:f>E219-D219</x:f>
        <x:v>-3005</x:v>
      </x:c>
      <x:c r="G219" s="9" t="n">
        <x:f>IF(D219=0,"n.a.",F219/D219)</x:f>
        <x:v>-0.3433108648463384</x:v>
      </x:c>
      <x:c r="H219" s="9" t="n">
        <x:f>D219/SUMIFS($D$6:$D$449,$A$6:$A$449,A219,$B$6:$B$449,B219)</x:f>
        <x:v>0.0010756050969893995</x:v>
      </x:c>
      <x:c r="I219" s="9" t="n">
        <x:f>E219/SUMIFS($E$6:$E$449,$A$6:$A$449,A219,$B$6:$B$449,B219)</x:f>
        <x:v>0.000946458724569479</x:v>
      </x:c>
      <x:c r="J219" s="10" t="n">
        <x:f>(I219-H219)*100</x:f>
        <x:v>-0.012914637241992044</x:v>
      </x:c>
      <x:c r="K219" s="2" t="n">
        <x:v>54</x:v>
      </x:c>
      <x:c r="L219" s="2" t="n">
        <x:v>52</x:v>
      </x:c>
      <x:c r="M219" s="2" t="n">
        <x:f>IF(OR(K219="",L219=""),"n.a.",K219-L219)</x:f>
        <x:v>2</x:v>
      </x:c>
    </x:row>
    <x:row r="220" ht="22" customHeight="1">
      <x:c r="A220" s="2" t="str">
        <x:v>全样本</x:v>
      </x:c>
      <x:c r="B220" s="2" t="str">
        <x:v>H12026</x:v>
      </x:c>
      <x:c r="C220" s="2" t="str">
        <x:v>林肯</x:v>
      </x:c>
      <x:c r="D220" s="8" t="n">
        <x:v>4177</x:v>
      </x:c>
      <x:c r="E220" s="8" t="n">
        <x:v>5483</x:v>
      </x:c>
      <x:c r="F220" s="8" t="n">
        <x:f>E220-D220</x:f>
        <x:v>1306</x:v>
      </x:c>
      <x:c r="G220" s="9" t="n">
        <x:f>IF(D220=0,"n.a.",F220/D220)</x:f>
        <x:v>0.3126645918123055</x:v>
      </x:c>
      <x:c r="H220" s="9" t="n">
        <x:f>D220/SUMIFS($D$6:$D$449,$A$6:$A$449,A220,$B$6:$B$449,B220)</x:f>
        <x:v>0.0005132871575602332</x:v>
      </x:c>
      <x:c r="I220" s="9" t="n">
        <x:f>E220/SUMIFS($E$6:$E$449,$A$6:$A$449,A220,$B$6:$B$449,B220)</x:f>
        <x:v>0.000902824145235639</x:v>
      </x:c>
      <x:c r="J220" s="10" t="n">
        <x:f>(I220-H220)*100</x:f>
        <x:v>0.03895369876754059</x:v>
      </x:c>
      <x:c r="K220" s="2" t="n">
        <x:v>66</x:v>
      </x:c>
      <x:c r="L220" s="2" t="n">
        <x:v>53</x:v>
      </x:c>
      <x:c r="M220" s="2" t="n">
        <x:f>IF(OR(K220="",L220=""),"n.a.",K220-L220)</x:f>
        <x:v>13</x:v>
      </x:c>
    </x:row>
    <x:row r="221" ht="22" customHeight="1">
      <x:c r="A221" s="2" t="str">
        <x:v>全样本</x:v>
      </x:c>
      <x:c r="B221" s="2" t="str">
        <x:v>H12026</x:v>
      </x:c>
      <x:c r="C221" s="2" t="str">
        <x:v>东风风神</x:v>
      </x:c>
      <x:c r="D221" s="8" t="n">
        <x:v>10090</x:v>
      </x:c>
      <x:c r="E221" s="8" t="n">
        <x:v>5313</x:v>
      </x:c>
      <x:c r="F221" s="8" t="n">
        <x:f>E221-D221</x:f>
        <x:v>-4777</x:v>
      </x:c>
      <x:c r="G221" s="9" t="n">
        <x:f>IF(D221=0,"n.a.",F221/D221)</x:f>
        <x:v>-0.4734390485629336</x:v>
      </x:c>
      <x:c r="H221" s="9" t="n">
        <x:f>D221/SUMIFS($D$6:$D$449,$A$6:$A$449,A221,$B$6:$B$449,B221)</x:f>
        <x:v>0.0012399012257081046</x:v>
      </x:c>
      <x:c r="I221" s="9" t="n">
        <x:f>E221/SUMIFS($E$6:$E$449,$A$6:$A$449,A221,$B$6:$B$449,B221)</x:f>
        <x:v>0.0008748321509460059</x:v>
      </x:c>
      <x:c r="J221" s="10" t="n">
        <x:f>(I221-H221)*100</x:f>
        <x:v>-0.036506907476209875</x:v>
      </x:c>
      <x:c r="K221" s="2" t="n">
        <x:v>49</x:v>
      </x:c>
      <x:c r="L221" s="2" t="n">
        <x:v>54</x:v>
      </x:c>
      <x:c r="M221" s="2" t="n">
        <x:f>IF(OR(K221="",L221=""),"n.a.",K221-L221)</x:f>
        <x:v>-5</x:v>
      </x:c>
    </x:row>
    <x:row r="222" ht="22" customHeight="1">
      <x:c r="A222" s="2" t="str">
        <x:v>全样本</x:v>
      </x:c>
      <x:c r="B222" s="2" t="str">
        <x:v>H12026</x:v>
      </x:c>
      <x:c r="C222" s="2" t="str">
        <x:v>奥迪AUDI</x:v>
      </x:c>
      <x:c r="D222" s="8" t="n">
        <x:v>0</x:v>
      </x:c>
      <x:c r="E222" s="8" t="n">
        <x:v>4923</x:v>
      </x:c>
      <x:c r="F222" s="8" t="n">
        <x:f>E222-D222</x:f>
        <x:v>4923</x:v>
      </x:c>
      <x:c r="G222" s="9" t="str">
        <x:f>IF(D222=0,"n.a.",F222/D222)</x:f>
        <x:v>n.a.</x:v>
      </x:c>
      <x:c r="H222" s="9" t="n">
        <x:f>D222/SUMIFS($D$6:$D$449,$A$6:$A$449,A222,$B$6:$B$449,B222)</x:f>
        <x:v>0</x:v>
      </x:c>
      <x:c r="I222" s="9" t="n">
        <x:f>E222/SUMIFS($E$6:$E$449,$A$6:$A$449,A222,$B$6:$B$449,B222)</x:f>
        <x:v>0.0008106152228697887</x:v>
      </x:c>
      <x:c r="J222" s="10" t="n">
        <x:f>(I222-H222)*100</x:f>
        <x:v>0.08106152228697887</x:v>
      </x:c>
      <x:c r="K222" s="2"/>
      <x:c r="L222" s="2" t="n">
        <x:v>55</x:v>
      </x:c>
      <x:c r="M222" s="2" t="str">
        <x:f>IF(OR(K222="",L222=""),"n.a.",K222-L222)</x:f>
        <x:v>n.a.</x:v>
      </x:c>
    </x:row>
    <x:row r="223" ht="22" customHeight="1">
      <x:c r="A223" s="2" t="str">
        <x:v>全样本</x:v>
      </x:c>
      <x:c r="B223" s="2" t="str">
        <x:v>H12026</x:v>
      </x:c>
      <x:c r="C223" s="2" t="str">
        <x:v>欧拉</x:v>
      </x:c>
      <x:c r="D223" s="8" t="n">
        <x:v>7450</x:v>
      </x:c>
      <x:c r="E223" s="8" t="n">
        <x:v>4757</x:v>
      </x:c>
      <x:c r="F223" s="8" t="n">
        <x:f>E223-D223</x:f>
        <x:v>-2693</x:v>
      </x:c>
      <x:c r="G223" s="9" t="n">
        <x:f>IF(D223=0,"n.a.",F223/D223)</x:f>
        <x:v>-0.3614765100671141</x:v>
      </x:c>
      <x:c r="H223" s="9" t="n">
        <x:f>D223/SUMIFS($D$6:$D$449,$A$6:$A$449,A223,$B$6:$B$449,B223)</x:f>
        <x:v>0.0009154870298835857</x:v>
      </x:c>
      <x:c r="I223" s="9" t="n">
        <x:f>E223/SUMIFS($E$6:$E$449,$A$6:$A$449,A223,$B$6:$B$449,B223)</x:f>
        <x:v>0.0007832818637399116</x:v>
      </x:c>
      <x:c r="J223" s="10" t="n">
        <x:f>(I223-H223)*100</x:f>
        <x:v>-0.013220516614367416</x:v>
      </x:c>
      <x:c r="K223" s="2" t="n">
        <x:v>58</x:v>
      </x:c>
      <x:c r="L223" s="2" t="n">
        <x:v>56</x:v>
      </x:c>
      <x:c r="M223" s="2" t="n">
        <x:f>IF(OR(K223="",L223=""),"n.a.",K223-L223)</x:f>
        <x:v>2</x:v>
      </x:c>
    </x:row>
    <x:row r="224" ht="22" customHeight="1">
      <x:c r="A224" s="2" t="str">
        <x:v>全样本</x:v>
      </x:c>
      <x:c r="B224" s="2" t="str">
        <x:v>H12026</x:v>
      </x:c>
      <x:c r="C224" s="2" t="str">
        <x:v>大通</x:v>
      </x:c>
      <x:c r="D224" s="8" t="n">
        <x:v>9063</x:v>
      </x:c>
      <x:c r="E224" s="8" t="n">
        <x:v>4275</x:v>
      </x:c>
      <x:c r="F224" s="8" t="n">
        <x:f>E224-D224</x:f>
        <x:v>-4788</x:v>
      </x:c>
      <x:c r="G224" s="9" t="n">
        <x:f>IF(D224=0,"n.a.",F224/D224)</x:f>
        <x:v>-0.5283018867924528</x:v>
      </x:c>
      <x:c r="H224" s="9" t="n">
        <x:f>D224/SUMIFS($D$6:$D$449,$A$6:$A$449,A224,$B$6:$B$449,B224)</x:f>
        <x:v>0.0011136991881657635</x:v>
      </x:c>
      <x:c r="I224" s="9" t="n">
        <x:f>E224/SUMIFS($E$6:$E$449,$A$6:$A$449,A224,$B$6:$B$449,B224)</x:f>
        <x:v>0.0007039163269893046</x:v>
      </x:c>
      <x:c r="J224" s="10" t="n">
        <x:f>(I224-H224)*100</x:f>
        <x:v>-0.04097828611764588</x:v>
      </x:c>
      <x:c r="K224" s="2" t="n">
        <x:v>53</x:v>
      </x:c>
      <x:c r="L224" s="2" t="n">
        <x:v>57</x:v>
      </x:c>
      <x:c r="M224" s="2" t="n">
        <x:f>IF(OR(K224="",L224=""),"n.a.",K224-L224)</x:f>
        <x:v>-4</x:v>
      </x:c>
    </x:row>
    <x:row r="225" ht="22" customHeight="1">
      <x:c r="A225" s="2" t="str">
        <x:v>全样本</x:v>
      </x:c>
      <x:c r="B225" s="2" t="str">
        <x:v>H12026</x:v>
      </x:c>
      <x:c r="C225" s="2" t="str">
        <x:v>江淮瑞风</x:v>
      </x:c>
      <x:c r="D225" s="8" t="n">
        <x:v>6459</x:v>
      </x:c>
      <x:c r="E225" s="8" t="n">
        <x:v>3962</x:v>
      </x:c>
      <x:c r="F225" s="8" t="n">
        <x:f>E225-D225</x:f>
        <x:v>-2497</x:v>
      </x:c>
      <x:c r="G225" s="9" t="n">
        <x:f>IF(D225=0,"n.a.",F225/D225)</x:f>
        <x:v>-0.38659235175723794</x:v>
      </x:c>
      <x:c r="H225" s="9" t="n">
        <x:f>D225/SUMIFS($D$6:$D$449,$A$6:$A$449,A225,$B$6:$B$449,B225)</x:f>
        <x:v>0.000793708822284306</x:v>
      </x:c>
      <x:c r="I225" s="9" t="n">
        <x:f>E225/SUMIFS($E$6:$E$449,$A$6:$A$449,A225,$B$6:$B$449,B225)</x:f>
        <x:v>0.0006523781257383917</x:v>
      </x:c>
      <x:c r="J225" s="10" t="n">
        <x:f>(I225-H225)*100</x:f>
        <x:v>-0.014133069654591431</x:v>
      </x:c>
      <x:c r="K225" s="2" t="n">
        <x:v>60</x:v>
      </x:c>
      <x:c r="L225" s="2" t="n">
        <x:v>58</x:v>
      </x:c>
      <x:c r="M225" s="2" t="n">
        <x:f>IF(OR(K225="",L225=""),"n.a.",K225-L225)</x:f>
        <x:v>2</x:v>
      </x:c>
    </x:row>
    <x:row r="226" ht="22" customHeight="1">
      <x:c r="A226" s="2" t="str">
        <x:v>全样本</x:v>
      </x:c>
      <x:c r="B226" s="2" t="str">
        <x:v>H12026</x:v>
      </x:c>
      <x:c r="C226" s="2" t="str">
        <x:v>东风富康</x:v>
      </x:c>
      <x:c r="D226" s="8" t="n">
        <x:v>1948</x:v>
      </x:c>
      <x:c r="E226" s="8" t="n">
        <x:v>3796</x:v>
      </x:c>
      <x:c r="F226" s="8" t="n">
        <x:f>E226-D226</x:f>
        <x:v>1848</x:v>
      </x:c>
      <x:c r="G226" s="9" t="n">
        <x:f>IF(D226=0,"n.a.",F226/D226)</x:f>
        <x:v>0.9486652977412731</x:v>
      </x:c>
      <x:c r="H226" s="9" t="n">
        <x:f>D226/SUMIFS($D$6:$D$449,$A$6:$A$449,A226,$B$6:$B$449,B226)</x:f>
        <x:v>0.00023937835358566777</x:v>
      </x:c>
      <x:c r="I226" s="9" t="n">
        <x:f>E226/SUMIFS($E$6:$E$449,$A$6:$A$449,A226,$B$6:$B$449,B226)</x:f>
        <x:v>0.0006250447666085147</x:v>
      </x:c>
      <x:c r="J226" s="10" t="n">
        <x:f>(I226-H226)*100</x:f>
        <x:v>0.038566641302284696</x:v>
      </x:c>
      <x:c r="K226" s="2" t="n">
        <x:v>71</x:v>
      </x:c>
      <x:c r="L226" s="2" t="n">
        <x:v>59</x:v>
      </x:c>
      <x:c r="M226" s="2" t="n">
        <x:f>IF(OR(K226="",L226=""),"n.a.",K226-L226)</x:f>
        <x:v>12</x:v>
      </x:c>
    </x:row>
    <x:row r="227" ht="22" customHeight="1">
      <x:c r="A227" s="2" t="str">
        <x:v>全样本</x:v>
      </x:c>
      <x:c r="B227" s="2" t="str">
        <x:v>H12026</x:v>
      </x:c>
      <x:c r="C227" s="2" t="str">
        <x:v>凯翼</x:v>
      </x:c>
      <x:c r="D227" s="8" t="n">
        <x:v>3608</x:v>
      </x:c>
      <x:c r="E227" s="8" t="n">
        <x:v>3653</x:v>
      </x:c>
      <x:c r="F227" s="8" t="n">
        <x:f>E227-D227</x:f>
        <x:v>45</x:v>
      </x:c>
      <x:c r="G227" s="9" t="n">
        <x:f>IF(D227=0,"n.a.",F227/D227)</x:f>
        <x:v>0.012472283813747228</x:v>
      </x:c>
      <x:c r="H227" s="9" t="n">
        <x:f>D227/SUMIFS($D$6:$D$449,$A$6:$A$449,A227,$B$6:$B$449,B227)</x:f>
        <x:v>0.00044336606762684254</x:v>
      </x:c>
      <x:c r="I227" s="9" t="n">
        <x:f>E227/SUMIFS($E$6:$E$449,$A$6:$A$449,A227,$B$6:$B$449,B227)</x:f>
        <x:v>0.000601498559647235</x:v>
      </x:c>
      <x:c r="J227" s="10" t="n">
        <x:f>(I227-H227)*100</x:f>
        <x:v>0.015813249202039248</x:v>
      </x:c>
      <x:c r="K227" s="2" t="n">
        <x:v>67</x:v>
      </x:c>
      <x:c r="L227" s="2" t="n">
        <x:v>60</x:v>
      </x:c>
      <x:c r="M227" s="2" t="n">
        <x:f>IF(OR(K227="",L227=""),"n.a.",K227-L227)</x:f>
        <x:v>7</x:v>
      </x:c>
    </x:row>
    <x:row r="228" ht="22" customHeight="1">
      <x:c r="A228" s="2" t="str">
        <x:v>全样本</x:v>
      </x:c>
      <x:c r="B228" s="2" t="str">
        <x:v>H12026</x:v>
      </x:c>
      <x:c r="C228" s="2" t="str">
        <x:v>长安凯程</x:v>
      </x:c>
      <x:c r="D228" s="8" t="n">
        <x:v>5975</x:v>
      </x:c>
      <x:c r="E228" s="8" t="n">
        <x:v>3138</x:v>
      </x:c>
      <x:c r="F228" s="8" t="n">
        <x:f>E228-D228</x:f>
        <x:v>-2837</x:v>
      </x:c>
      <x:c r="G228" s="9" t="n">
        <x:f>IF(D228=0,"n.a.",F228/D228)</x:f>
        <x:v>-0.47481171548117157</x:v>
      </x:c>
      <x:c r="H228" s="9" t="n">
        <x:f>D228/SUMIFS($D$6:$D$449,$A$6:$A$449,A228,$B$6:$B$449,B228)</x:f>
        <x:v>0.0007342328863831442</x:v>
      </x:c>
      <x:c r="I228" s="9" t="n">
        <x:f>E228/SUMIFS($E$6:$E$449,$A$6:$A$449,A228,$B$6:$B$449,B228)</x:f>
        <x:v>0.0005166992828286404</x:v>
      </x:c>
      <x:c r="J228" s="10" t="n">
        <x:f>(I228-H228)*100</x:f>
        <x:v>-0.02175336035545038</x:v>
      </x:c>
      <x:c r="K228" s="2" t="n">
        <x:v>61</x:v>
      </x:c>
      <x:c r="L228" s="2" t="n">
        <x:v>61</x:v>
      </x:c>
      <x:c r="M228" s="2" t="n">
        <x:f>IF(OR(K228="",L228=""),"n.a.",K228-L228)</x:f>
        <x:v>0</x:v>
      </x:c>
    </x:row>
    <x:row r="229" ht="22" customHeight="1">
      <x:c r="A229" s="2" t="str">
        <x:v>全样本</x:v>
      </x:c>
      <x:c r="B229" s="2" t="str">
        <x:v>H12026</x:v>
      </x:c>
      <x:c r="C229" s="2" t="str">
        <x:v>理想汽车</x:v>
      </x:c>
      <x:c r="D229" s="8" t="n">
        <x:v>5805</x:v>
      </x:c>
      <x:c r="E229" s="8" t="n">
        <x:v>2843</x:v>
      </x:c>
      <x:c r="F229" s="8" t="n">
        <x:f>E229-D229</x:f>
        <x:v>-2962</x:v>
      </x:c>
      <x:c r="G229" s="9" t="n">
        <x:f>IF(D229=0,"n.a.",F229/D229)</x:f>
        <x:v>-0.5102497846683893</x:v>
      </x:c>
      <x:c r="H229" s="9" t="n">
        <x:f>D229/SUMIFS($D$6:$D$449,$A$6:$A$449,A229,$B$6:$B$449,B229)</x:f>
        <x:v>0.0007133425783186866</x:v>
      </x:c>
      <x:c r="I229" s="9" t="n">
        <x:f>E229/SUMIFS($E$6:$E$449,$A$6:$A$449,A229,$B$6:$B$449,B229)</x:f>
        <x:v>0.00046812493979662994</x:v>
      </x:c>
      <x:c r="J229" s="10" t="n">
        <x:f>(I229-H229)*100</x:f>
        <x:v>-0.02452176385220567</x:v>
      </x:c>
      <x:c r="K229" s="2" t="n">
        <x:v>62</x:v>
      </x:c>
      <x:c r="L229" s="2" t="n">
        <x:v>62</x:v>
      </x:c>
      <x:c r="M229" s="2" t="n">
        <x:f>IF(OR(K229="",L229=""),"n.a.",K229-L229)</x:f>
        <x:v>0</x:v>
      </x:c>
    </x:row>
    <x:row r="230" ht="22" customHeight="1">
      <x:c r="A230" s="2" t="str">
        <x:v>全样本</x:v>
      </x:c>
      <x:c r="B230" s="2" t="str">
        <x:v>H12026</x:v>
      </x:c>
      <x:c r="C230" s="2" t="str">
        <x:v>长安欧尚</x:v>
      </x:c>
      <x:c r="D230" s="8" t="n">
        <x:v>4508</x:v>
      </x:c>
      <x:c r="E230" s="8" t="n">
        <x:v>2668</x:v>
      </x:c>
      <x:c r="F230" s="8" t="n">
        <x:f>E230-D230</x:f>
        <x:v>-1840</x:v>
      </x:c>
      <x:c r="G230" s="9" t="n">
        <x:f>IF(D230=0,"n.a.",F230/D230)</x:f>
        <x:v>-0.40816326530612246</x:v>
      </x:c>
      <x:c r="H230" s="9" t="n">
        <x:f>D230/SUMIFS($D$6:$D$449,$A$6:$A$449,A230,$B$6:$B$449,B230)</x:f>
        <x:v>0.0005539618162033832</x:v>
      </x:c>
      <x:c r="I230" s="9" t="n">
        <x:f>E230/SUMIFS($E$6:$E$449,$A$6:$A$449,A230,$B$6:$B$449,B230)</x:f>
        <x:v>0.0004393096515573017</x:v>
      </x:c>
      <x:c r="J230" s="10" t="n">
        <x:f>(I230-H230)*100</x:f>
        <x:v>-0.011465216464608146</x:v>
      </x:c>
      <x:c r="K230" s="2" t="n">
        <x:v>64</x:v>
      </x:c>
      <x:c r="L230" s="2" t="n">
        <x:v>63</x:v>
      </x:c>
      <x:c r="M230" s="2" t="n">
        <x:f>IF(OR(K230="",L230=""),"n.a.",K230-L230)</x:f>
        <x:v>1</x:v>
      </x:c>
    </x:row>
    <x:row r="231" ht="22" customHeight="1">
      <x:c r="A231" s="2" t="str">
        <x:v>全样本</x:v>
      </x:c>
      <x:c r="B231" s="2" t="str">
        <x:v>H12026</x:v>
      </x:c>
      <x:c r="C231" s="2" t="str">
        <x:v>雪佛兰</x:v>
      </x:c>
      <x:c r="D231" s="8" t="n">
        <x:v>823</x:v>
      </x:c>
      <x:c r="E231" s="8" t="n">
        <x:v>2284</x:v>
      </x:c>
      <x:c r="F231" s="8" t="n">
        <x:f>E231-D231</x:f>
        <x:v>1461</x:v>
      </x:c>
      <x:c r="G231" s="9" t="n">
        <x:f>IF(D231=0,"n.a.",F231/D231)</x:f>
        <x:v>1.7752126366950183</x:v>
      </x:c>
      <x:c r="H231" s="9" t="n">
        <x:f>D231/SUMIFS($D$6:$D$449,$A$6:$A$449,A231,$B$6:$B$449,B231)</x:f>
        <x:v>0.00010113366786499208</x:v>
      </x:c>
      <x:c r="I231" s="9" t="n">
        <x:f>E231/SUMIFS($E$6:$E$449,$A$6:$A$449,A231,$B$6:$B$449,B231)</x:f>
        <x:v>0.0003760806762207185</x:v>
      </x:c>
      <x:c r="J231" s="10" t="n">
        <x:f>(I231-H231)*100</x:f>
        <x:v>0.027494700835572643</x:v>
      </x:c>
      <x:c r="K231" s="2" t="n">
        <x:v>75</x:v>
      </x:c>
      <x:c r="L231" s="2" t="n">
        <x:v>64</x:v>
      </x:c>
      <x:c r="M231" s="2" t="n">
        <x:f>IF(OR(K231="",L231=""),"n.a.",K231-L231)</x:f>
        <x:v>11</x:v>
      </x:c>
    </x:row>
    <x:row r="232" ht="22" customHeight="1">
      <x:c r="A232" s="2" t="str">
        <x:v>全样本</x:v>
      </x:c>
      <x:c r="B232" s="2" t="str">
        <x:v>H12026</x:v>
      </x:c>
      <x:c r="C232" s="2" t="str">
        <x:v>捷豹</x:v>
      </x:c>
      <x:c r="D232" s="8" t="n">
        <x:v>4266</x:v>
      </x:c>
      <x:c r="E232" s="8" t="n">
        <x:v>1930</x:v>
      </x:c>
      <x:c r="F232" s="8" t="n">
        <x:f>E232-D232</x:f>
        <x:v>-2336</x:v>
      </x:c>
      <x:c r="G232" s="9" t="n">
        <x:f>IF(D232=0,"n.a.",F232/D232)</x:f>
        <x:v>-0.5475855602437881</x:v>
      </x:c>
      <x:c r="H232" s="9" t="n">
        <x:f>D232/SUMIFS($D$6:$D$449,$A$6:$A$449,A232,$B$6:$B$449,B232)</x:f>
        <x:v>0.0005242238482528022</x:v>
      </x:c>
      <x:c r="I232" s="9" t="n">
        <x:f>E232/SUMIFS($E$6:$E$449,$A$6:$A$449,A232,$B$6:$B$449,B232)</x:f>
        <x:v>0.00031779146458230594</x:v>
      </x:c>
      <x:c r="J232" s="10" t="n">
        <x:f>(I232-H232)*100</x:f>
        <x:v>-0.020643238367049625</x:v>
      </x:c>
      <x:c r="K232" s="2" t="n">
        <x:v>65</x:v>
      </x:c>
      <x:c r="L232" s="2" t="n">
        <x:v>65</x:v>
      </x:c>
      <x:c r="M232" s="2" t="n">
        <x:f>IF(OR(K232="",L232=""),"n.a.",K232-L232)</x:f>
        <x:v>0</x:v>
      </x:c>
    </x:row>
    <x:row r="233" ht="22" customHeight="1">
      <x:c r="A233" s="2" t="str">
        <x:v>全样本</x:v>
      </x:c>
      <x:c r="B233" s="2" t="str">
        <x:v>H12026</x:v>
      </x:c>
      <x:c r="C233" s="2" t="str">
        <x:v>睿蓝汽车</x:v>
      </x:c>
      <x:c r="D233" s="8" t="n">
        <x:v>6840</x:v>
      </x:c>
      <x:c r="E233" s="8" t="n">
        <x:v>1866</x:v>
      </x:c>
      <x:c r="F233" s="8" t="n">
        <x:f>E233-D233</x:f>
        <x:v>-4974</x:v>
      </x:c>
      <x:c r="G233" s="9" t="n">
        <x:f>IF(D233=0,"n.a.",F233/D233)</x:f>
        <x:v>-0.7271929824561404</x:v>
      </x:c>
      <x:c r="H233" s="9" t="n">
        <x:f>D233/SUMIFS($D$6:$D$449,$A$6:$A$449,A233,$B$6:$B$449,B233)</x:f>
        <x:v>0.0008405276891817082</x:v>
      </x:c>
      <x:c r="I233" s="9" t="n">
        <x:f>E233/SUMIFS($E$6:$E$449,$A$6:$A$449,A233,$B$6:$B$449,B233)</x:f>
        <x:v>0.00030725330202620874</x:v>
      </x:c>
      <x:c r="J233" s="10" t="n">
        <x:f>(I233-H233)*100</x:f>
        <x:v>-0.05332743871554995</x:v>
      </x:c>
      <x:c r="K233" s="2" t="n">
        <x:v>59</x:v>
      </x:c>
      <x:c r="L233" s="2" t="n">
        <x:v>66</x:v>
      </x:c>
      <x:c r="M233" s="2" t="n">
        <x:f>IF(OR(K233="",L233=""),"n.a.",K233-L233)</x:f>
        <x:v>-7</x:v>
      </x:c>
    </x:row>
    <x:row r="234" ht="22" customHeight="1">
      <x:c r="A234" s="2" t="str">
        <x:v>全样本</x:v>
      </x:c>
      <x:c r="B234" s="2" t="str">
        <x:v>H12026</x:v>
      </x:c>
      <x:c r="C234" s="2" t="str">
        <x:v>凌宝汽车</x:v>
      </x:c>
      <x:c r="D234" s="8" t="n">
        <x:v>3023</x:v>
      </x:c>
      <x:c r="E234" s="8" t="n">
        <x:v>1534</x:v>
      </x:c>
      <x:c r="F234" s="8" t="n">
        <x:f>E234-D234</x:f>
        <x:v>-1489</x:v>
      </x:c>
      <x:c r="G234" s="9" t="n">
        <x:f>IF(D234=0,"n.a.",F234/D234)</x:f>
        <x:v>-0.4925570625206748</x:v>
      </x:c>
      <x:c r="H234" s="9" t="n">
        <x:f>D234/SUMIFS($D$6:$D$449,$A$6:$A$449,A234,$B$6:$B$449,B234)</x:f>
        <x:v>0.0003714788310520912</x:v>
      </x:c>
      <x:c r="I234" s="9" t="n">
        <x:f>E234/SUMIFS($E$6:$E$449,$A$6:$A$449,A234,$B$6:$B$449,B234)</x:f>
        <x:v>0.00025258658376645457</x:v>
      </x:c>
      <x:c r="J234" s="10" t="n">
        <x:f>(I234-H234)*100</x:f>
        <x:v>-0.011889224728563663</x:v>
      </x:c>
      <x:c r="K234" s="2" t="n">
        <x:v>68</x:v>
      </x:c>
      <x:c r="L234" s="2" t="n">
        <x:v>67</x:v>
      </x:c>
      <x:c r="M234" s="2" t="n">
        <x:f>IF(OR(K234="",L234=""),"n.a.",K234-L234)</x:f>
        <x:v>1</x:v>
      </x:c>
    </x:row>
    <x:row r="235" ht="22" customHeight="1">
      <x:c r="A235" s="2" t="str">
        <x:v>全样本</x:v>
      </x:c>
      <x:c r="B235" s="2" t="str">
        <x:v>H12026</x:v>
      </x:c>
      <x:c r="C235" s="2" t="str">
        <x:v>埃尚</x:v>
      </x:c>
      <x:c r="D235" s="8" t="n">
        <x:v>0</x:v>
      </x:c>
      <x:c r="E235" s="8" t="n">
        <x:v>1488</x:v>
      </x:c>
      <x:c r="F235" s="8" t="n">
        <x:f>E235-D235</x:f>
        <x:v>1488</x:v>
      </x:c>
      <x:c r="G235" s="9" t="str">
        <x:f>IF(D235=0,"n.a.",F235/D235)</x:f>
        <x:v>n.a.</x:v>
      </x:c>
      <x:c r="H235" s="9" t="n">
        <x:f>D235/SUMIFS($D$6:$D$449,$A$6:$A$449,A235,$B$6:$B$449,B235)</x:f>
        <x:v>0</x:v>
      </x:c>
      <x:c r="I235" s="9" t="n">
        <x:f>E235/SUMIFS($E$6:$E$449,$A$6:$A$449,A235,$B$6:$B$449,B235)</x:f>
        <x:v>0.0002450122794292597</x:v>
      </x:c>
      <x:c r="J235" s="10" t="n">
        <x:f>(I235-H235)*100</x:f>
        <x:v>0.02450122794292597</x:v>
      </x:c>
      <x:c r="K235" s="2"/>
      <x:c r="L235" s="2" t="n">
        <x:v>68</x:v>
      </x:c>
      <x:c r="M235" s="2" t="str">
        <x:f>IF(OR(K235="",L235=""),"n.a.",K235-L235)</x:f>
        <x:v>n.a.</x:v>
      </x:c>
    </x:row>
    <x:row r="236" ht="22" customHeight="1">
      <x:c r="A236" s="2" t="str">
        <x:v>全样本</x:v>
      </x:c>
      <x:c r="B236" s="2" t="str">
        <x:v>H12026</x:v>
      </x:c>
      <x:c r="C236" s="2" t="str">
        <x:v>宝骏</x:v>
      </x:c>
      <x:c r="D236" s="8" t="n">
        <x:v>1330</x:v>
      </x:c>
      <x:c r="E236" s="8" t="n">
        <x:v>1484</x:v>
      </x:c>
      <x:c r="F236" s="8" t="n">
        <x:f>E236-D236</x:f>
        <x:v>154</x:v>
      </x:c>
      <x:c r="G236" s="9" t="n">
        <x:f>IF(D236=0,"n.a.",F236/D236)</x:f>
        <x:v>0.11578947368421053</x:v>
      </x:c>
      <x:c r="H236" s="9" t="n">
        <x:f>D236/SUMIFS($D$6:$D$449,$A$6:$A$449,A236,$B$6:$B$449,B236)</x:f>
        <x:v>0.00016343593956310993</x:v>
      </x:c>
      <x:c r="I236" s="9" t="n">
        <x:f>E236/SUMIFS($E$6:$E$449,$A$6:$A$449,A236,$B$6:$B$449,B236)</x:f>
        <x:v>0.00024435364426950363</x:v>
      </x:c>
      <x:c r="J236" s="10" t="n">
        <x:f>(I236-H236)*100</x:f>
        <x:v>0.00809177047063937</x:v>
      </x:c>
      <x:c r="K236" s="2" t="n">
        <x:v>73</x:v>
      </x:c>
      <x:c r="L236" s="2" t="n">
        <x:v>69</x:v>
      </x:c>
      <x:c r="M236" s="2" t="n">
        <x:f>IF(OR(K236="",L236=""),"n.a.",K236-L236)</x:f>
        <x:v>4</x:v>
      </x:c>
    </x:row>
    <x:row r="237" ht="22" customHeight="1">
      <x:c r="A237" s="2" t="str">
        <x:v>全样本</x:v>
      </x:c>
      <x:c r="B237" s="2" t="str">
        <x:v>H12026</x:v>
      </x:c>
      <x:c r="C237" s="2" t="str">
        <x:v>飞凡汽车</x:v>
      </x:c>
      <x:c r="D237" s="8" t="n">
        <x:v>1642</x:v>
      </x:c>
      <x:c r="E237" s="8" t="n">
        <x:v>962</x:v>
      </x:c>
      <x:c r="F237" s="8" t="n">
        <x:f>E237-D237</x:f>
        <x:v>-680</x:v>
      </x:c>
      <x:c r="G237" s="9" t="n">
        <x:f>IF(D237=0,"n.a.",F237/D237)</x:f>
        <x:v>-0.41412911084043846</x:v>
      </x:c>
      <x:c r="H237" s="9" t="n">
        <x:f>D237/SUMIFS($D$6:$D$449,$A$6:$A$449,A237,$B$6:$B$449,B237)</x:f>
        <x:v>0.000201775799069644</x:v>
      </x:c>
      <x:c r="I237" s="9" t="n">
        <x:f>E237/SUMIFS($E$6:$E$449,$A$6:$A$449,A237,$B$6:$B$449,B237)</x:f>
        <x:v>0.0001584017559213359</x:v>
      </x:c>
      <x:c r="J237" s="10" t="n">
        <x:f>(I237-H237)*100</x:f>
        <x:v>-0.0043374043148308086</x:v>
      </x:c>
      <x:c r="K237" s="2" t="n">
        <x:v>72</x:v>
      </x:c>
      <x:c r="L237" s="2" t="n">
        <x:v>70</x:v>
      </x:c>
      <x:c r="M237" s="2" t="n">
        <x:f>IF(OR(K237="",L237=""),"n.a.",K237-L237)</x:f>
        <x:v>2</x:v>
      </x:c>
    </x:row>
    <x:row r="238" ht="22" customHeight="1">
      <x:c r="A238" s="2" t="str">
        <x:v>全样本</x:v>
      </x:c>
      <x:c r="B238" s="2" t="str">
        <x:v>H12026</x:v>
      </x:c>
      <x:c r="C238" s="2" t="str">
        <x:v>北京汽车</x:v>
      </x:c>
      <x:c r="D238" s="8" t="n">
        <x:v>9134</x:v>
      </x:c>
      <x:c r="E238" s="8" t="n">
        <x:v>852</x:v>
      </x:c>
      <x:c r="F238" s="8" t="n">
        <x:f>E238-D238</x:f>
        <x:v>-8282</x:v>
      </x:c>
      <x:c r="G238" s="9" t="n">
        <x:f>IF(D238=0,"n.a.",F238/D238)</x:f>
        <x:v>-0.9067221370702868</x:v>
      </x:c>
      <x:c r="H238" s="9" t="n">
        <x:f>D238/SUMIFS($D$6:$D$449,$A$6:$A$449,A238,$B$6:$B$449,B238)</x:f>
        <x:v>0.0011224239638868015</x:v>
      </x:c>
      <x:c r="I238" s="9" t="n">
        <x:f>E238/SUMIFS($E$6:$E$449,$A$6:$A$449,A238,$B$6:$B$449,B238)</x:f>
        <x:v>0.00014028928902804386</x:v>
      </x:c>
      <x:c r="J238" s="10" t="n">
        <x:f>(I238-H238)*100</x:f>
        <x:v>-0.09821346748587576</x:v>
      </x:c>
      <x:c r="K238" s="2" t="n">
        <x:v>52</x:v>
      </x:c>
      <x:c r="L238" s="2" t="n">
        <x:v>71</x:v>
      </x:c>
      <x:c r="M238" s="2" t="n">
        <x:f>IF(OR(K238="",L238=""),"n.a.",K238-L238)</x:f>
        <x:v>-19</x:v>
      </x:c>
    </x:row>
    <x:row r="239" ht="22" customHeight="1">
      <x:c r="A239" s="2" t="str">
        <x:v>全样本</x:v>
      </x:c>
      <x:c r="B239" s="2" t="str">
        <x:v>H12026</x:v>
      </x:c>
      <x:c r="C239" s="2" t="str">
        <x:v>星途</x:v>
      </x:c>
      <x:c r="D239" s="8" t="n">
        <x:v>9953</x:v>
      </x:c>
      <x:c r="E239" s="8" t="n">
        <x:v>814</x:v>
      </x:c>
      <x:c r="F239" s="8" t="n">
        <x:f>E239-D239</x:f>
        <x:v>-9139</x:v>
      </x:c>
      <x:c r="G239" s="9" t="n">
        <x:f>IF(D239=0,"n.a.",F239/D239)</x:f>
        <x:v>-0.9182156133828996</x:v>
      </x:c>
      <x:c r="H239" s="9" t="n">
        <x:f>D239/SUMIFS($D$6:$D$449,$A$6:$A$449,A239,$B$6:$B$449,B239)</x:f>
        <x:v>0.0012230660950914535</x:v>
      </x:c>
      <x:c r="I239" s="9" t="n">
        <x:f>E239/SUMIFS($E$6:$E$449,$A$6:$A$449,A239,$B$6:$B$449,B239)</x:f>
        <x:v>0.00013403225501036116</x:v>
      </x:c>
      <x:c r="J239" s="10" t="n">
        <x:f>(I239-H239)*100</x:f>
        <x:v>-0.10890338400810923</x:v>
      </x:c>
      <x:c r="K239" s="2" t="n">
        <x:v>50</x:v>
      </x:c>
      <x:c r="L239" s="2" t="n">
        <x:v>72</x:v>
      </x:c>
      <x:c r="M239" s="2" t="n">
        <x:f>IF(OR(K239="",L239=""),"n.a.",K239-L239)</x:f>
        <x:v>-22</x:v>
      </x:c>
    </x:row>
    <x:row r="240" ht="22" customHeight="1">
      <x:c r="A240" s="2" t="str">
        <x:v>全样本</x:v>
      </x:c>
      <x:c r="B240" s="2" t="str">
        <x:v>H12026</x:v>
      </x:c>
      <x:c r="C240" s="2" t="str">
        <x:v>启辰</x:v>
      </x:c>
      <x:c r="D240" s="8" t="n">
        <x:v>2169</x:v>
      </x:c>
      <x:c r="E240" s="8" t="n">
        <x:v>688</x:v>
      </x:c>
      <x:c r="F240" s="8" t="n">
        <x:f>E240-D240</x:f>
        <x:v>-1481</x:v>
      </x:c>
      <x:c r="G240" s="9" t="n">
        <x:f>IF(D240=0,"n.a.",F240/D240)</x:f>
        <x:v>-0.6828031350852928</x:v>
      </x:c>
      <x:c r="H240" s="9" t="n">
        <x:f>D240/SUMIFS($D$6:$D$449,$A$6:$A$449,A240,$B$6:$B$449,B240)</x:f>
        <x:v>0.0002665357540694627</x:v>
      </x:c>
      <x:c r="I240" s="9" t="n">
        <x:f>E240/SUMIFS($E$6:$E$449,$A$6:$A$449,A240,$B$6:$B$449,B240)</x:f>
        <x:v>0.00011328524747804481</x:v>
      </x:c>
      <x:c r="J240" s="10" t="n">
        <x:f>(I240-H240)*100</x:f>
        <x:v>-0.015325050659141791</x:v>
      </x:c>
      <x:c r="K240" s="2" t="n">
        <x:v>70</x:v>
      </x:c>
      <x:c r="L240" s="2" t="n">
        <x:v>73</x:v>
      </x:c>
      <x:c r="M240" s="2" t="n">
        <x:f>IF(OR(K240="",L240=""),"n.a.",K240-L240)</x:f>
        <x:v>-3</x:v>
      </x:c>
    </x:row>
    <x:row r="241" ht="22" customHeight="1">
      <x:c r="A241" s="2" t="str">
        <x:v>全样本</x:v>
      </x:c>
      <x:c r="B241" s="2" t="str">
        <x:v>H12026</x:v>
      </x:c>
      <x:c r="C241" s="2" t="str">
        <x:v>曹操汽车</x:v>
      </x:c>
      <x:c r="D241" s="8" t="n">
        <x:v>11340</x:v>
      </x:c>
      <x:c r="E241" s="8" t="n">
        <x:v>508</x:v>
      </x:c>
      <x:c r="F241" s="8" t="n">
        <x:f>E241-D241</x:f>
        <x:v>-10832</x:v>
      </x:c>
      <x:c r="G241" s="9" t="n">
        <x:f>IF(D241=0,"n.a.",F241/D241)</x:f>
        <x:v>-0.9552028218694886</x:v>
      </x:c>
      <x:c r="H241" s="9" t="n">
        <x:f>D241/SUMIFS($D$6:$D$449,$A$6:$A$449,A241,$B$6:$B$449,B241)</x:f>
        <x:v>0.001393506432064411</x:v>
      </x:c>
      <x:c r="I241" s="9" t="n">
        <x:f>E241/SUMIFS($E$6:$E$449,$A$6:$A$449,A241,$B$6:$B$449,B241)</x:f>
        <x:v>0.00008364666528902146</x:v>
      </x:c>
      <x:c r="J241" s="10" t="n">
        <x:f>(I241-H241)*100</x:f>
        <x:v>-0.13098597667753895</x:v>
      </x:c>
      <x:c r="K241" s="2" t="n">
        <x:v>47</x:v>
      </x:c>
      <x:c r="L241" s="2" t="n">
        <x:v>74</x:v>
      </x:c>
      <x:c r="M241" s="2" t="n">
        <x:f>IF(OR(K241="",L241=""),"n.a.",K241-L241)</x:f>
        <x:v>-27</x:v>
      </x:c>
    </x:row>
    <x:row r="242" ht="22" customHeight="1">
      <x:c r="A242" s="2" t="str">
        <x:v>全样本</x:v>
      </x:c>
      <x:c r="B242" s="2" t="str">
        <x:v>H12026</x:v>
      </x:c>
      <x:c r="C242" s="2" t="str">
        <x:v>昊铂</x:v>
      </x:c>
      <x:c r="D242" s="8" t="n">
        <x:v>793</x:v>
      </x:c>
      <x:c r="E242" s="8" t="n">
        <x:v>375</x:v>
      </x:c>
      <x:c r="F242" s="8" t="n">
        <x:f>E242-D242</x:f>
        <x:v>-418</x:v>
      </x:c>
      <x:c r="G242" s="9" t="n">
        <x:f>IF(D242=0,"n.a.",F242/D242)</x:f>
        <x:v>-0.5271122320302648</x:v>
      </x:c>
      <x:c r="H242" s="9" t="n">
        <x:f>D242/SUMIFS($D$6:$D$449,$A$6:$A$449,A242,$B$6:$B$449,B242)</x:f>
        <x:v>0.00009744714291244073</x:v>
      </x:c>
      <x:c r="I242" s="9" t="n">
        <x:f>E242/SUMIFS($E$6:$E$449,$A$6:$A$449,A242,$B$6:$B$449,B242)</x:f>
        <x:v>0.00006174704622713198</x:v>
      </x:c>
      <x:c r="J242" s="10" t="n">
        <x:f>(I242-H242)*100</x:f>
        <x:v>-0.0035700096685308755</x:v>
      </x:c>
      <x:c r="K242" s="2" t="n">
        <x:v>76</x:v>
      </x:c>
      <x:c r="L242" s="2" t="n">
        <x:v>75</x:v>
      </x:c>
      <x:c r="M242" s="2" t="n">
        <x:f>IF(OR(K242="",L242=""),"n.a.",K242-L242)</x:f>
        <x:v>1</x:v>
      </x:c>
    </x:row>
    <x:row r="243" ht="22" customHeight="1">
      <x:c r="A243" s="2" t="str">
        <x:v>全样本</x:v>
      </x:c>
      <x:c r="B243" s="2" t="str">
        <x:v>H12026</x:v>
      </x:c>
      <x:c r="C243" s="2" t="str">
        <x:v>东风风光</x:v>
      </x:c>
      <x:c r="D243" s="8" t="n">
        <x:v>1289</x:v>
      </x:c>
      <x:c r="E243" s="8" t="n">
        <x:v>349</x:v>
      </x:c>
      <x:c r="F243" s="8" t="n">
        <x:f>E243-D243</x:f>
        <x:v>-940</x:v>
      </x:c>
      <x:c r="G243" s="9" t="n">
        <x:f>IF(D243=0,"n.a.",F243/D243)</x:f>
        <x:v>-0.7292474786656322</x:v>
      </x:c>
      <x:c r="H243" s="9" t="n">
        <x:f>D243/SUMIFS($D$6:$D$449,$A$6:$A$449,A243,$B$6:$B$449,B243)</x:f>
        <x:v>0.00015839768879462307</x:v>
      </x:c>
      <x:c r="I243" s="9" t="n">
        <x:f>E243/SUMIFS($E$6:$E$449,$A$6:$A$449,A243,$B$6:$B$449,B243)</x:f>
        <x:v>0.0000574659176887175</x:v>
      </x:c>
      <x:c r="J243" s="10" t="n">
        <x:f>(I243-H243)*100</x:f>
        <x:v>-0.010093177110590558</x:v>
      </x:c>
      <x:c r="K243" s="2" t="n">
        <x:v>74</x:v>
      </x:c>
      <x:c r="L243" s="2" t="n">
        <x:v>76</x:v>
      </x:c>
      <x:c r="M243" s="2" t="n">
        <x:f>IF(OR(K243="",L243=""),"n.a.",K243-L243)</x:f>
        <x:v>-2</x:v>
      </x:c>
    </x:row>
    <x:row r="244" ht="22" customHeight="1">
      <x:c r="A244" s="2" t="str">
        <x:v>全样本</x:v>
      </x:c>
      <x:c r="B244" s="2" t="str">
        <x:v>H12026</x:v>
      </x:c>
      <x:c r="C244" s="2" t="str">
        <x:v>smart</x:v>
      </x:c>
      <x:c r="D244" s="8" t="n">
        <x:v>0</x:v>
      </x:c>
      <x:c r="E244" s="8" t="n">
        <x:v>331</x:v>
      </x:c>
      <x:c r="F244" s="8" t="n">
        <x:f>E244-D244</x:f>
        <x:v>331</x:v>
      </x:c>
      <x:c r="G244" s="9" t="str">
        <x:f>IF(D244=0,"n.a.",F244/D244)</x:f>
        <x:v>n.a.</x:v>
      </x:c>
      <x:c r="H244" s="9" t="n">
        <x:f>D244/SUMIFS($D$6:$D$449,$A$6:$A$449,A244,$B$6:$B$449,B244)</x:f>
        <x:v>0</x:v>
      </x:c>
      <x:c r="I244" s="9" t="n">
        <x:f>E244/SUMIFS($E$6:$E$449,$A$6:$A$449,A244,$B$6:$B$449,B244)</x:f>
        <x:v>0.00005450205946981516</x:v>
      </x:c>
      <x:c r="J244" s="10" t="n">
        <x:f>(I244-H244)*100</x:f>
        <x:v>0.005450205946981516</x:v>
      </x:c>
      <x:c r="K244" s="2"/>
      <x:c r="L244" s="2" t="n">
        <x:v>77</x:v>
      </x:c>
      <x:c r="M244" s="2" t="str">
        <x:f>IF(OR(K244="",L244=""),"n.a.",K244-L244)</x:f>
        <x:v>n.a.</x:v>
      </x:c>
    </x:row>
    <x:row r="245" ht="22" customHeight="1">
      <x:c r="A245" s="2" t="str">
        <x:v>全样本</x:v>
      </x:c>
      <x:c r="B245" s="2" t="str">
        <x:v>H12026</x:v>
      </x:c>
      <x:c r="C245" s="2" t="str">
        <x:v>江铃集团新能源</x:v>
      </x:c>
      <x:c r="D245" s="8" t="n">
        <x:v>0</x:v>
      </x:c>
      <x:c r="E245" s="8" t="n">
        <x:v>329</x:v>
      </x:c>
      <x:c r="F245" s="8" t="n">
        <x:f>E245-D245</x:f>
        <x:v>329</x:v>
      </x:c>
      <x:c r="G245" s="9" t="str">
        <x:f>IF(D245=0,"n.a.",F245/D245)</x:f>
        <x:v>n.a.</x:v>
      </x:c>
      <x:c r="H245" s="9" t="n">
        <x:f>D245/SUMIFS($D$6:$D$449,$A$6:$A$449,A245,$B$6:$B$449,B245)</x:f>
        <x:v>0</x:v>
      </x:c>
      <x:c r="I245" s="9" t="n">
        <x:f>E245/SUMIFS($E$6:$E$449,$A$6:$A$449,A245,$B$6:$B$449,B245)</x:f>
        <x:v>0.00005417274188993713</x:v>
      </x:c>
      <x:c r="J245" s="10" t="n">
        <x:f>(I245-H245)*100</x:f>
        <x:v>0.005417274188993713</x:v>
      </x:c>
      <x:c r="K245" s="2"/>
      <x:c r="L245" s="2" t="n">
        <x:v>78</x:v>
      </x:c>
      <x:c r="M245" s="2" t="str">
        <x:f>IF(OR(K245="",L245=""),"n.a.",K245-L245)</x:f>
        <x:v>n.a.</x:v>
      </x:c>
    </x:row>
    <x:row r="246" ht="22" customHeight="1">
      <x:c r="A246" s="2" t="str">
        <x:v>全样本</x:v>
      </x:c>
      <x:c r="B246" s="2" t="str">
        <x:v>H12026</x:v>
      </x:c>
      <x:c r="C246" s="2" t="str">
        <x:v>江淮钇为</x:v>
      </x:c>
      <x:c r="D246" s="8" t="n">
        <x:v>2983</x:v>
      </x:c>
      <x:c r="E246" s="8" t="n">
        <x:v>254</x:v>
      </x:c>
      <x:c r="F246" s="8" t="n">
        <x:f>E246-D246</x:f>
        <x:v>-2729</x:v>
      </x:c>
      <x:c r="G246" s="9" t="n">
        <x:f>IF(D246=0,"n.a.",F246/D246)</x:f>
        <x:v>-0.914850821320818</x:v>
      </x:c>
      <x:c r="H246" s="9" t="n">
        <x:f>D246/SUMIFS($D$6:$D$449,$A$6:$A$449,A246,$B$6:$B$449,B246)</x:f>
        <x:v>0.0003665634644486894</x:v>
      </x:c>
      <x:c r="I246" s="9" t="n">
        <x:f>E246/SUMIFS($E$6:$E$449,$A$6:$A$449,A246,$B$6:$B$449,B246)</x:f>
        <x:v>0.00004182333264451073</x:v>
      </x:c>
      <x:c r="J246" s="10" t="n">
        <x:f>(I246-H246)*100</x:f>
        <x:v>-0.03247401318041787</x:v>
      </x:c>
      <x:c r="K246" s="2" t="n">
        <x:v>69</x:v>
      </x:c>
      <x:c r="L246" s="2" t="n">
        <x:v>79</x:v>
      </x:c>
      <x:c r="M246" s="2" t="n">
        <x:f>IF(OR(K246="",L246=""),"n.a.",K246-L246)</x:f>
        <x:v>-10</x:v>
      </x:c>
    </x:row>
    <x:row r="247" ht="22" customHeight="1">
      <x:c r="A247" s="2" t="str">
        <x:v>全样本</x:v>
      </x:c>
      <x:c r="B247" s="2" t="str">
        <x:v>H12026</x:v>
      </x:c>
      <x:c r="C247" s="2" t="str">
        <x:v>灵悉</x:v>
      </x:c>
      <x:c r="D247" s="8" t="n">
        <x:v>532</x:v>
      </x:c>
      <x:c r="E247" s="8" t="n">
        <x:v>214</x:v>
      </x:c>
      <x:c r="F247" s="8" t="n">
        <x:f>E247-D247</x:f>
        <x:v>-318</x:v>
      </x:c>
      <x:c r="G247" s="9" t="n">
        <x:f>IF(D247=0,"n.a.",F247/D247)</x:f>
        <x:v>-0.5977443609022557</x:v>
      </x:c>
      <x:c r="H247" s="9" t="n">
        <x:f>D247/SUMIFS($D$6:$D$449,$A$6:$A$449,A247,$B$6:$B$449,B247)</x:f>
        <x:v>0.00006537437582524397</x:v>
      </x:c>
      <x:c r="I247" s="9" t="n">
        <x:f>E247/SUMIFS($E$6:$E$449,$A$6:$A$449,A247,$B$6:$B$449,B247)</x:f>
        <x:v>0.00003523698104694998</x:v>
      </x:c>
      <x:c r="J247" s="10" t="n">
        <x:f>(I247-H247)*100</x:f>
        <x:v>-0.003013739477829399</x:v>
      </x:c>
      <x:c r="K247" s="2" t="n">
        <x:v>78</x:v>
      </x:c>
      <x:c r="L247" s="2" t="n">
        <x:v>80</x:v>
      </x:c>
      <x:c r="M247" s="2" t="n">
        <x:f>IF(OR(K247="",L247=""),"n.a.",K247-L247)</x:f>
        <x:v>-2</x:v>
      </x:c>
    </x:row>
    <x:row r="248" ht="22" customHeight="1">
      <x:c r="A248" s="2" t="str">
        <x:v>全样本</x:v>
      </x:c>
      <x:c r="B248" s="2" t="str">
        <x:v>H12026</x:v>
      </x:c>
      <x:c r="C248" s="2" t="str">
        <x:v>仰望</x:v>
      </x:c>
      <x:c r="D248" s="8" t="n">
        <x:v>0</x:v>
      </x:c>
      <x:c r="E248" s="8" t="n">
        <x:v>213</x:v>
      </x:c>
      <x:c r="F248" s="8" t="n">
        <x:f>E248-D248</x:f>
        <x:v>213</x:v>
      </x:c>
      <x:c r="G248" s="9" t="str">
        <x:f>IF(D248=0,"n.a.",F248/D248)</x:f>
        <x:v>n.a.</x:v>
      </x:c>
      <x:c r="H248" s="9" t="n">
        <x:f>D248/SUMIFS($D$6:$D$449,$A$6:$A$449,A248,$B$6:$B$449,B248)</x:f>
        <x:v>0</x:v>
      </x:c>
      <x:c r="I248" s="9" t="n">
        <x:f>E248/SUMIFS($E$6:$E$449,$A$6:$A$449,A248,$B$6:$B$449,B248)</x:f>
        <x:v>0.000035072322257010965</x:v>
      </x:c>
      <x:c r="J248" s="10" t="n">
        <x:f>(I248-H248)*100</x:f>
        <x:v>0.0035072322257010966</x:v>
      </x:c>
      <x:c r="K248" s="2"/>
      <x:c r="L248" s="2" t="n">
        <x:v>81</x:v>
      </x:c>
      <x:c r="M248" s="2" t="str">
        <x:f>IF(OR(K248="",L248=""),"n.a.",K248-L248)</x:f>
        <x:v>n.a.</x:v>
      </x:c>
    </x:row>
    <x:row r="249" ht="22" customHeight="1">
      <x:c r="A249" s="2" t="str">
        <x:v>全样本</x:v>
      </x:c>
      <x:c r="B249" s="2" t="str">
        <x:v>H12026</x:v>
      </x:c>
      <x:c r="C249" s="2" t="str">
        <x:v>江淮</x:v>
      </x:c>
      <x:c r="D249" s="8" t="n">
        <x:v>589</x:v>
      </x:c>
      <x:c r="E249" s="8" t="n">
        <x:v>19</x:v>
      </x:c>
      <x:c r="F249" s="8" t="n">
        <x:f>E249-D249</x:f>
        <x:v>-570</x:v>
      </x:c>
      <x:c r="G249" s="9" t="n">
        <x:f>IF(D249=0,"n.a.",F249/D249)</x:f>
        <x:v>-0.967741935483871</x:v>
      </x:c>
      <x:c r="H249" s="9" t="n">
        <x:f>D249/SUMIFS($D$6:$D$449,$A$6:$A$449,A249,$B$6:$B$449,B249)</x:f>
        <x:v>0.00007237877323509153</x:v>
      </x:c>
      <x:c r="I249" s="9" t="n">
        <x:f>E249/SUMIFS($E$6:$E$449,$A$6:$A$449,A249,$B$6:$B$449,B249)</x:f>
        <x:v>0.0000031285170088413537</x:v>
      </x:c>
      <x:c r="J249" s="10" t="n">
        <x:f>(I249-H249)*100</x:f>
        <x:v>-0.006925025622625018</x:v>
      </x:c>
      <x:c r="K249" s="2" t="n">
        <x:v>77</x:v>
      </x:c>
      <x:c r="L249" s="2" t="n">
        <x:v>82</x:v>
      </x:c>
      <x:c r="M249" s="2" t="n">
        <x:f>IF(OR(K249="",L249=""),"n.a.",K249-L249)</x:f>
        <x:v>-5</x:v>
      </x:c>
    </x:row>
    <x:row r="250" ht="22" customHeight="1">
      <x:c r="A250" s="2" t="str">
        <x:v>全样本</x:v>
      </x:c>
      <x:c r="B250" s="2" t="str">
        <x:v>H12026</x:v>
      </x:c>
      <x:c r="C250" s="2" t="str">
        <x:v>MINI</x:v>
      </x:c>
      <x:c r="D250" s="8" t="n">
        <x:v>5531</x:v>
      </x:c>
      <x:c r="E250" s="8" t="n">
        <x:v>0</x:v>
      </x:c>
      <x:c r="F250" s="8" t="n">
        <x:f>E250-D250</x:f>
        <x:v>-5531</x:v>
      </x:c>
      <x:c r="G250" s="9" t="n">
        <x:f>IF(D250=0,"n.a.",F250/D250)</x:f>
        <x:v>-1</x:v>
      </x:c>
      <x:c r="H250" s="9" t="n">
        <x:f>D250/SUMIFS($D$6:$D$449,$A$6:$A$449,A250,$B$6:$B$449,B250)</x:f>
        <x:v>0.0006796723170853842</x:v>
      </x:c>
      <x:c r="I250" s="9" t="n">
        <x:f>E250/SUMIFS($E$6:$E$449,$A$6:$A$449,A250,$B$6:$B$449,B250)</x:f>
        <x:v>0</x:v>
      </x:c>
      <x:c r="J250" s="10" t="n">
        <x:f>(I250-H250)*100</x:f>
        <x:v>-0.06796723170853843</x:v>
      </x:c>
      <x:c r="K250" s="2" t="n">
        <x:v>63</x:v>
      </x:c>
      <x:c r="L250" s="2"/>
      <x:c r="M250" s="2" t="str">
        <x:f>IF(OR(K250="",L250=""),"n.a.",K250-L250)</x:f>
        <x:v>n.a.</x:v>
      </x:c>
    </x:row>
    <x:row r="251" ht="22" customHeight="1">
      <x:c r="A251" s="2" t="str">
        <x:v>全样本</x:v>
      </x:c>
      <x:c r="B251" s="2" t="str">
        <x:v>H12026</x:v>
      </x:c>
      <x:c r="C251" s="2" t="str">
        <x:v>DS</x:v>
      </x:c>
      <x:c r="D251" s="8" t="n">
        <x:v>0</x:v>
      </x:c>
      <x:c r="E251" s="8" t="n">
        <x:v>0</x:v>
      </x:c>
      <x:c r="F251" s="8" t="n">
        <x:f>E251-D251</x:f>
        <x:v>0</x:v>
      </x:c>
      <x:c r="G251" s="9" t="str">
        <x:f>IF(D251=0,"n.a.",F251/D251)</x:f>
        <x:v>n.a.</x:v>
      </x:c>
      <x:c r="H251" s="9" t="n">
        <x:f>D251/SUMIFS($D$6:$D$449,$A$6:$A$449,A251,$B$6:$B$449,B251)</x:f>
        <x:v>0</x:v>
      </x:c>
      <x:c r="I251" s="9" t="n">
        <x:f>E251/SUMIFS($E$6:$E$449,$A$6:$A$449,A251,$B$6:$B$449,B251)</x:f>
        <x:v>0</x:v>
      </x:c>
      <x:c r="J251" s="10" t="n">
        <x:f>(I251-H251)*100</x:f>
        <x:v>0</x:v>
      </x:c>
      <x:c r="K251" s="2"/>
      <x:c r="L251" s="2"/>
      <x:c r="M251" s="2" t="str">
        <x:f>IF(OR(K251="",L251=""),"n.a.",K251-L251)</x:f>
        <x:v>n.a.</x:v>
      </x:c>
    </x:row>
    <x:row r="252" ht="22" customHeight="1">
      <x:c r="A252" s="2" t="str">
        <x:v>全样本</x:v>
      </x:c>
      <x:c r="B252" s="2" t="str">
        <x:v>H12026</x:v>
      </x:c>
      <x:c r="C252" s="2" t="str">
        <x:v>五十铃</x:v>
      </x:c>
      <x:c r="D252" s="8" t="n">
        <x:v>0</x:v>
      </x:c>
      <x:c r="E252" s="8" t="n">
        <x:v>0</x:v>
      </x:c>
      <x:c r="F252" s="8" t="n">
        <x:f>E252-D252</x:f>
        <x:v>0</x:v>
      </x:c>
      <x:c r="G252" s="9" t="str">
        <x:f>IF(D252=0,"n.a.",F252/D252)</x:f>
        <x:v>n.a.</x:v>
      </x:c>
      <x:c r="H252" s="9" t="n">
        <x:f>D252/SUMIFS($D$6:$D$449,$A$6:$A$449,A252,$B$6:$B$449,B252)</x:f>
        <x:v>0</x:v>
      </x:c>
      <x:c r="I252" s="9" t="n">
        <x:f>E252/SUMIFS($E$6:$E$449,$A$6:$A$449,A252,$B$6:$B$449,B252)</x:f>
        <x:v>0</x:v>
      </x:c>
      <x:c r="J252" s="10" t="n">
        <x:f>(I252-H252)*100</x:f>
        <x:v>0</x:v>
      </x:c>
      <x:c r="K252" s="2"/>
      <x:c r="L252" s="2"/>
      <x:c r="M252" s="2" t="str">
        <x:f>IF(OR(K252="",L252=""),"n.a.",K252-L252)</x:f>
        <x:v>n.a.</x:v>
      </x:c>
    </x:row>
    <x:row r="253" ht="22" customHeight="1">
      <x:c r="A253" s="2" t="str">
        <x:v>全样本</x:v>
      </x:c>
      <x:c r="B253" s="2" t="str">
        <x:v>H12026</x:v>
      </x:c>
      <x:c r="C253" s="2" t="str">
        <x:v>中华</x:v>
      </x:c>
      <x:c r="D253" s="8" t="n">
        <x:v>0</x:v>
      </x:c>
      <x:c r="E253" s="8" t="n">
        <x:v>0</x:v>
      </x:c>
      <x:c r="F253" s="8" t="n">
        <x:f>E253-D253</x:f>
        <x:v>0</x:v>
      </x:c>
      <x:c r="G253" s="9" t="str">
        <x:f>IF(D253=0,"n.a.",F253/D253)</x:f>
        <x:v>n.a.</x:v>
      </x:c>
      <x:c r="H253" s="9" t="n">
        <x:f>D253/SUMIFS($D$6:$D$449,$A$6:$A$449,A253,$B$6:$B$449,B253)</x:f>
        <x:v>0</x:v>
      </x:c>
      <x:c r="I253" s="9" t="n">
        <x:f>E253/SUMIFS($E$6:$E$449,$A$6:$A$449,A253,$B$6:$B$449,B253)</x:f>
        <x:v>0</x:v>
      </x:c>
      <x:c r="J253" s="10" t="n">
        <x:f>(I253-H253)*100</x:f>
        <x:v>0</x:v>
      </x:c>
      <x:c r="K253" s="2"/>
      <x:c r="L253" s="2"/>
      <x:c r="M253" s="2" t="str">
        <x:f>IF(OR(K253="",L253=""),"n.a.",K253-L253)</x:f>
        <x:v>n.a.</x:v>
      </x:c>
    </x:row>
    <x:row r="254" ht="22" customHeight="1">
      <x:c r="A254" s="2" t="str">
        <x:v>全样本</x:v>
      </x:c>
      <x:c r="B254" s="2" t="str">
        <x:v>H12026</x:v>
      </x:c>
      <x:c r="C254" s="2" t="str">
        <x:v>中兴</x:v>
      </x:c>
      <x:c r="D254" s="8" t="n">
        <x:v>0</x:v>
      </x:c>
      <x:c r="E254" s="8" t="n">
        <x:v>0</x:v>
      </x:c>
      <x:c r="F254" s="8" t="n">
        <x:f>E254-D254</x:f>
        <x:v>0</x:v>
      </x:c>
      <x:c r="G254" s="9" t="str">
        <x:f>IF(D254=0,"n.a.",F254/D254)</x:f>
        <x:v>n.a.</x:v>
      </x:c>
      <x:c r="H254" s="9" t="n">
        <x:f>D254/SUMIFS($D$6:$D$449,$A$6:$A$449,A254,$B$6:$B$449,B254)</x:f>
        <x:v>0</x:v>
      </x:c>
      <x:c r="I254" s="9" t="n">
        <x:f>E254/SUMIFS($E$6:$E$449,$A$6:$A$449,A254,$B$6:$B$449,B254)</x:f>
        <x:v>0</x:v>
      </x:c>
      <x:c r="J254" s="10" t="n">
        <x:f>(I254-H254)*100</x:f>
        <x:v>0</x:v>
      </x:c>
      <x:c r="K254" s="2"/>
      <x:c r="L254" s="2"/>
      <x:c r="M254" s="2" t="str">
        <x:f>IF(OR(K254="",L254=""),"n.a.",K254-L254)</x:f>
        <x:v>n.a.</x:v>
      </x:c>
    </x:row>
    <x:row r="255" ht="22" customHeight="1">
      <x:c r="A255" s="2" t="str">
        <x:v>全样本</x:v>
      </x:c>
      <x:c r="B255" s="2" t="str">
        <x:v>H12026</x:v>
      </x:c>
      <x:c r="C255" s="2" t="str">
        <x:v>东风风度</x:v>
      </x:c>
      <x:c r="D255" s="8" t="n">
        <x:v>0</x:v>
      </x:c>
      <x:c r="E255" s="8" t="n">
        <x:v>0</x:v>
      </x:c>
      <x:c r="F255" s="8" t="n">
        <x:f>E255-D255</x:f>
        <x:v>0</x:v>
      </x:c>
      <x:c r="G255" s="9" t="str">
        <x:f>IF(D255=0,"n.a.",F255/D255)</x:f>
        <x:v>n.a.</x:v>
      </x:c>
      <x:c r="H255" s="9" t="n">
        <x:f>D255/SUMIFS($D$6:$D$449,$A$6:$A$449,A255,$B$6:$B$449,B255)</x:f>
        <x:v>0</x:v>
      </x:c>
      <x:c r="I255" s="9" t="n">
        <x:f>E255/SUMIFS($E$6:$E$449,$A$6:$A$449,A255,$B$6:$B$449,B255)</x:f>
        <x:v>0</x:v>
      </x:c>
      <x:c r="J255" s="10" t="n">
        <x:f>(I255-H255)*100</x:f>
        <x:v>0</x:v>
      </x:c>
      <x:c r="K255" s="2"/>
      <x:c r="L255" s="2"/>
      <x:c r="M255" s="2" t="str">
        <x:f>IF(OR(K255="",L255=""),"n.a.",K255-L255)</x:f>
        <x:v>n.a.</x:v>
      </x:c>
    </x:row>
    <x:row r="256" ht="22" customHeight="1">
      <x:c r="A256" s="2" t="str">
        <x:v>全样本</x:v>
      </x:c>
      <x:c r="B256" s="2" t="str">
        <x:v>H12026</x:v>
      </x:c>
      <x:c r="C256" s="2" t="str">
        <x:v>LITE</x:v>
      </x:c>
      <x:c r="D256" s="8" t="n">
        <x:v>0</x:v>
      </x:c>
      <x:c r="E256" s="8" t="n">
        <x:v>0</x:v>
      </x:c>
      <x:c r="F256" s="8" t="n">
        <x:f>E256-D256</x:f>
        <x:v>0</x:v>
      </x:c>
      <x:c r="G256" s="9" t="str">
        <x:f>IF(D256=0,"n.a.",F256/D256)</x:f>
        <x:v>n.a.</x:v>
      </x:c>
      <x:c r="H256" s="9" t="n">
        <x:f>D256/SUMIFS($D$6:$D$449,$A$6:$A$449,A256,$B$6:$B$449,B256)</x:f>
        <x:v>0</x:v>
      </x:c>
      <x:c r="I256" s="9" t="n">
        <x:f>E256/SUMIFS($E$6:$E$449,$A$6:$A$449,A256,$B$6:$B$449,B256)</x:f>
        <x:v>0</x:v>
      </x:c>
      <x:c r="J256" s="10" t="n">
        <x:f>(I256-H256)*100</x:f>
        <x:v>0</x:v>
      </x:c>
      <x:c r="K256" s="2"/>
      <x:c r="L256" s="2"/>
      <x:c r="M256" s="2" t="str">
        <x:f>IF(OR(K256="",L256=""),"n.a.",K256-L256)</x:f>
        <x:v>n.a.</x:v>
      </x:c>
    </x:row>
    <x:row r="257" ht="22" customHeight="1">
      <x:c r="A257" s="2" t="str">
        <x:v>全样本</x:v>
      </x:c>
      <x:c r="B257" s="2" t="str">
        <x:v>H12026</x:v>
      </x:c>
      <x:c r="C257" s="2" t="str">
        <x:v>Jeep</x:v>
      </x:c>
      <x:c r="D257" s="8" t="n">
        <x:v>0</x:v>
      </x:c>
      <x:c r="E257" s="8" t="n">
        <x:v>0</x:v>
      </x:c>
      <x:c r="F257" s="8" t="n">
        <x:f>E257-D257</x:f>
        <x:v>0</x:v>
      </x:c>
      <x:c r="G257" s="9" t="str">
        <x:f>IF(D257=0,"n.a.",F257/D257)</x:f>
        <x:v>n.a.</x:v>
      </x:c>
      <x:c r="H257" s="9" t="n">
        <x:f>D257/SUMIFS($D$6:$D$449,$A$6:$A$449,A257,$B$6:$B$449,B257)</x:f>
        <x:v>0</x:v>
      </x:c>
      <x:c r="I257" s="9" t="n">
        <x:f>E257/SUMIFS($E$6:$E$449,$A$6:$A$449,A257,$B$6:$B$449,B257)</x:f>
        <x:v>0</x:v>
      </x:c>
      <x:c r="J257" s="10" t="n">
        <x:f>(I257-H257)*100</x:f>
        <x:v>0</x:v>
      </x:c>
      <x:c r="K257" s="2"/>
      <x:c r="L257" s="2"/>
      <x:c r="M257" s="2" t="str">
        <x:f>IF(OR(K257="",L257=""),"n.a.",K257-L257)</x:f>
        <x:v>n.a.</x:v>
      </x:c>
    </x:row>
    <x:row r="258" ht="22" customHeight="1">
      <x:c r="A258" s="2" t="str">
        <x:v>全样本</x:v>
      </x:c>
      <x:c r="B258" s="2" t="str">
        <x:v>H12026</x:v>
      </x:c>
      <x:c r="C258" s="2" t="str">
        <x:v>iCAR</x:v>
      </x:c>
      <x:c r="D258" s="8" t="n">
        <x:v>10584</x:v>
      </x:c>
      <x:c r="E258" s="8" t="n">
        <x:v>0</x:v>
      </x:c>
      <x:c r="F258" s="8" t="n">
        <x:f>E258-D258</x:f>
        <x:v>-10584</x:v>
      </x:c>
      <x:c r="G258" s="9" t="n">
        <x:f>IF(D258=0,"n.a.",F258/D258)</x:f>
        <x:v>-1</x:v>
      </x:c>
      <x:c r="H258" s="9" t="n">
        <x:f>D258/SUMIFS($D$6:$D$449,$A$6:$A$449,A258,$B$6:$B$449,B258)</x:f>
        <x:v>0.001300606003260117</x:v>
      </x:c>
      <x:c r="I258" s="9" t="n">
        <x:f>E258/SUMIFS($E$6:$E$449,$A$6:$A$449,A258,$B$6:$B$449,B258)</x:f>
        <x:v>0</x:v>
      </x:c>
      <x:c r="J258" s="10" t="n">
        <x:f>(I258-H258)*100</x:f>
        <x:v>-0.1300606003260117</x:v>
      </x:c>
      <x:c r="K258" s="2" t="n">
        <x:v>48</x:v>
      </x:c>
      <x:c r="L258" s="2"/>
      <x:c r="M258" s="2" t="str">
        <x:f>IF(OR(K258="",L258=""),"n.a.",K258-L258)</x:f>
        <x:v>n.a.</x:v>
      </x:c>
    </x:row>
    <x:row r="259" ht="22" customHeight="1">
      <x:c r="A259" s="2" t="str">
        <x:v>全样本</x:v>
      </x:c>
      <x:c r="B259" s="2" t="str">
        <x:v>H12026</x:v>
      </x:c>
      <x:c r="C259" s="2" t="str">
        <x:v>SWM斯威汽车</x:v>
      </x:c>
      <x:c r="D259" s="8" t="n">
        <x:v>0</x:v>
      </x:c>
      <x:c r="E259" s="8" t="n">
        <x:v>0</x:v>
      </x:c>
      <x:c r="F259" s="8" t="n">
        <x:f>E259-D259</x:f>
        <x:v>0</x:v>
      </x:c>
      <x:c r="G259" s="9" t="str">
        <x:f>IF(D259=0,"n.a.",F259/D259)</x:f>
        <x:v>n.a.</x:v>
      </x:c>
      <x:c r="H259" s="9" t="n">
        <x:f>D259/SUMIFS($D$6:$D$449,$A$6:$A$449,A259,$B$6:$B$449,B259)</x:f>
        <x:v>0</x:v>
      </x:c>
      <x:c r="I259" s="9" t="n">
        <x:f>E259/SUMIFS($E$6:$E$449,$A$6:$A$449,A259,$B$6:$B$449,B259)</x:f>
        <x:v>0</x:v>
      </x:c>
      <x:c r="J259" s="10" t="n">
        <x:f>(I259-H259)*100</x:f>
        <x:v>0</x:v>
      </x:c>
      <x:c r="K259" s="2"/>
      <x:c r="L259" s="2"/>
      <x:c r="M259" s="2" t="str">
        <x:f>IF(OR(K259="",L259=""),"n.a.",K259-L259)</x:f>
        <x:v>n.a.</x:v>
      </x:c>
    </x:row>
    <x:row r="260" ht="22" customHeight="1">
      <x:c r="A260" s="2" t="str">
        <x:v>全样本</x:v>
      </x:c>
      <x:c r="B260" s="2" t="str">
        <x:v>H12026</x:v>
      </x:c>
      <x:c r="C260" s="2" t="str">
        <x:v>Polestar极星</x:v>
      </x:c>
      <x:c r="D260" s="8" t="n">
        <x:v>0</x:v>
      </x:c>
      <x:c r="E260" s="8" t="n">
        <x:v>0</x:v>
      </x:c>
      <x:c r="F260" s="8" t="n">
        <x:f>E260-D260</x:f>
        <x:v>0</x:v>
      </x:c>
      <x:c r="G260" s="9" t="str">
        <x:f>IF(D260=0,"n.a.",F260/D260)</x:f>
        <x:v>n.a.</x:v>
      </x:c>
      <x:c r="H260" s="9" t="n">
        <x:f>D260/SUMIFS($D$6:$D$449,$A$6:$A$449,A260,$B$6:$B$449,B260)</x:f>
        <x:v>0</x:v>
      </x:c>
      <x:c r="I260" s="9" t="n">
        <x:f>E260/SUMIFS($E$6:$E$449,$A$6:$A$449,A260,$B$6:$B$449,B260)</x:f>
        <x:v>0</x:v>
      </x:c>
      <x:c r="J260" s="10" t="n">
        <x:f>(I260-H260)*100</x:f>
        <x:v>0</x:v>
      </x:c>
      <x:c r="K260" s="2"/>
      <x:c r="L260" s="2"/>
      <x:c r="M260" s="2" t="str">
        <x:f>IF(OR(K260="",L260=""),"n.a.",K260-L260)</x:f>
        <x:v>n.a.</x:v>
      </x:c>
    </x:row>
    <x:row r="261" ht="22" customHeight="1">
      <x:c r="A261" s="2" t="str">
        <x:v>全样本</x:v>
      </x:c>
      <x:c r="B261" s="2" t="str">
        <x:v>H12026</x:v>
      </x:c>
      <x:c r="C261" s="2" t="str">
        <x:v>一汽</x:v>
      </x:c>
      <x:c r="D261" s="8" t="n">
        <x:v>0</x:v>
      </x:c>
      <x:c r="E261" s="8" t="n">
        <x:v>0</x:v>
      </x:c>
      <x:c r="F261" s="8" t="n">
        <x:f>E261-D261</x:f>
        <x:v>0</x:v>
      </x:c>
      <x:c r="G261" s="9" t="str">
        <x:f>IF(D261=0,"n.a.",F261/D261)</x:f>
        <x:v>n.a.</x:v>
      </x:c>
      <x:c r="H261" s="9" t="n">
        <x:f>D261/SUMIFS($D$6:$D$449,$A$6:$A$449,A261,$B$6:$B$449,B261)</x:f>
        <x:v>0</x:v>
      </x:c>
      <x:c r="I261" s="9" t="n">
        <x:f>E261/SUMIFS($E$6:$E$449,$A$6:$A$449,A261,$B$6:$B$449,B261)</x:f>
        <x:v>0</x:v>
      </x:c>
      <x:c r="J261" s="10" t="n">
        <x:f>(I261-H261)*100</x:f>
        <x:v>0</x:v>
      </x:c>
      <x:c r="K261" s="2"/>
      <x:c r="L261" s="2"/>
      <x:c r="M261" s="2" t="str">
        <x:f>IF(OR(K261="",L261=""),"n.a.",K261-L261)</x:f>
        <x:v>n.a.</x:v>
      </x:c>
    </x:row>
    <x:row r="262" ht="22" customHeight="1">
      <x:c r="A262" s="2" t="str">
        <x:v>全样本</x:v>
      </x:c>
      <x:c r="B262" s="2" t="str">
        <x:v>H12026</x:v>
      </x:c>
      <x:c r="C262" s="2" t="str">
        <x:v>东南</x:v>
      </x:c>
      <x:c r="D262" s="8" t="n">
        <x:v>0</x:v>
      </x:c>
      <x:c r="E262" s="8" t="n">
        <x:v>0</x:v>
      </x:c>
      <x:c r="F262" s="8" t="n">
        <x:f>E262-D262</x:f>
        <x:v>0</x:v>
      </x:c>
      <x:c r="G262" s="9" t="str">
        <x:f>IF(D262=0,"n.a.",F262/D262)</x:f>
        <x:v>n.a.</x:v>
      </x:c>
      <x:c r="H262" s="9" t="n">
        <x:f>D262/SUMIFS($D$6:$D$449,$A$6:$A$449,A262,$B$6:$B$449,B262)</x:f>
        <x:v>0</x:v>
      </x:c>
      <x:c r="I262" s="9" t="n">
        <x:f>E262/SUMIFS($E$6:$E$449,$A$6:$A$449,A262,$B$6:$B$449,B262)</x:f>
        <x:v>0</x:v>
      </x:c>
      <x:c r="J262" s="10" t="n">
        <x:f>(I262-H262)*100</x:f>
        <x:v>0</x:v>
      </x:c>
      <x:c r="K262" s="2"/>
      <x:c r="L262" s="2"/>
      <x:c r="M262" s="2" t="str">
        <x:f>IF(OR(K262="",L262=""),"n.a.",K262-L262)</x:f>
        <x:v>n.a.</x:v>
      </x:c>
    </x:row>
    <x:row r="263" ht="22" customHeight="1">
      <x:c r="A263" s="2" t="str">
        <x:v>全样本</x:v>
      </x:c>
      <x:c r="B263" s="2" t="str">
        <x:v>H12026</x:v>
      </x:c>
      <x:c r="C263" s="2" t="str">
        <x:v>三菱</x:v>
      </x:c>
      <x:c r="D263" s="8" t="n">
        <x:v>0</x:v>
      </x:c>
      <x:c r="E263" s="8" t="n">
        <x:v>0</x:v>
      </x:c>
      <x:c r="F263" s="8" t="n">
        <x:f>E263-D263</x:f>
        <x:v>0</x:v>
      </x:c>
      <x:c r="G263" s="9" t="str">
        <x:f>IF(D263=0,"n.a.",F263/D263)</x:f>
        <x:v>n.a.</x:v>
      </x:c>
      <x:c r="H263" s="9" t="n">
        <x:f>D263/SUMIFS($D$6:$D$449,$A$6:$A$449,A263,$B$6:$B$449,B263)</x:f>
        <x:v>0</x:v>
      </x:c>
      <x:c r="I263" s="9" t="n">
        <x:f>E263/SUMIFS($E$6:$E$449,$A$6:$A$449,A263,$B$6:$B$449,B263)</x:f>
        <x:v>0</x:v>
      </x:c>
      <x:c r="J263" s="10" t="n">
        <x:f>(I263-H263)*100</x:f>
        <x:v>0</x:v>
      </x:c>
      <x:c r="K263" s="2"/>
      <x:c r="L263" s="2"/>
      <x:c r="M263" s="2" t="str">
        <x:f>IF(OR(K263="",L263=""),"n.a.",K263-L263)</x:f>
        <x:v>n.a.</x:v>
      </x:c>
    </x:row>
    <x:row r="264" ht="22" customHeight="1">
      <x:c r="A264" s="2" t="str">
        <x:v>全样本</x:v>
      </x:c>
      <x:c r="B264" s="2" t="str">
        <x:v>H12026</x:v>
      </x:c>
      <x:c r="C264" s="2" t="str">
        <x:v>东风</x:v>
      </x:c>
      <x:c r="D264" s="8" t="n">
        <x:v>0</x:v>
      </x:c>
      <x:c r="E264" s="8" t="n">
        <x:v>0</x:v>
      </x:c>
      <x:c r="F264" s="8" t="n">
        <x:f>E264-D264</x:f>
        <x:v>0</x:v>
      </x:c>
      <x:c r="G264" s="9" t="str">
        <x:f>IF(D264=0,"n.a.",F264/D264)</x:f>
        <x:v>n.a.</x:v>
      </x:c>
      <x:c r="H264" s="9" t="n">
        <x:f>D264/SUMIFS($D$6:$D$449,$A$6:$A$449,A264,$B$6:$B$449,B264)</x:f>
        <x:v>0</x:v>
      </x:c>
      <x:c r="I264" s="9" t="n">
        <x:f>E264/SUMIFS($E$6:$E$449,$A$6:$A$449,A264,$B$6:$B$449,B264)</x:f>
        <x:v>0</x:v>
      </x:c>
      <x:c r="J264" s="10" t="n">
        <x:f>(I264-H264)*100</x:f>
        <x:v>0</x:v>
      </x:c>
      <x:c r="K264" s="2"/>
      <x:c r="L264" s="2"/>
      <x:c r="M264" s="2" t="str">
        <x:f>IF(OR(K264="",L264=""),"n.a.",K264-L264)</x:f>
        <x:v>n.a.</x:v>
      </x:c>
    </x:row>
    <x:row r="265" ht="22" customHeight="1">
      <x:c r="A265" s="2" t="str">
        <x:v>全样本</x:v>
      </x:c>
      <x:c r="B265" s="2" t="str">
        <x:v>H12026</x:v>
      </x:c>
      <x:c r="C265" s="2" t="str">
        <x:v>东风小康</x:v>
      </x:c>
      <x:c r="D265" s="8" t="n">
        <x:v>0</x:v>
      </x:c>
      <x:c r="E265" s="8" t="n">
        <x:v>0</x:v>
      </x:c>
      <x:c r="F265" s="8" t="n">
        <x:f>E265-D265</x:f>
        <x:v>0</x:v>
      </x:c>
      <x:c r="G265" s="9" t="str">
        <x:f>IF(D265=0,"n.a.",F265/D265)</x:f>
        <x:v>n.a.</x:v>
      </x:c>
      <x:c r="H265" s="9" t="n">
        <x:f>D265/SUMIFS($D$6:$D$449,$A$6:$A$449,A265,$B$6:$B$449,B265)</x:f>
        <x:v>0</x:v>
      </x:c>
      <x:c r="I265" s="9" t="n">
        <x:f>E265/SUMIFS($E$6:$E$449,$A$6:$A$449,A265,$B$6:$B$449,B265)</x:f>
        <x:v>0</x:v>
      </x:c>
      <x:c r="J265" s="10" t="n">
        <x:f>(I265-H265)*100</x:f>
        <x:v>0</x:v>
      </x:c>
      <x:c r="K265" s="2"/>
      <x:c r="L265" s="2"/>
      <x:c r="M265" s="2" t="str">
        <x:f>IF(OR(K265="",L265=""),"n.a.",K265-L265)</x:f>
        <x:v>n.a.</x:v>
      </x:c>
    </x:row>
    <x:row r="266" ht="22" customHeight="1">
      <x:c r="A266" s="2" t="str">
        <x:v>全样本</x:v>
      </x:c>
      <x:c r="B266" s="2" t="str">
        <x:v>H12026</x:v>
      </x:c>
      <x:c r="C266" s="2" t="str">
        <x:v>全球鹰</x:v>
      </x:c>
      <x:c r="D266" s="8" t="n">
        <x:v>0</x:v>
      </x:c>
      <x:c r="E266" s="8" t="n">
        <x:v>0</x:v>
      </x:c>
      <x:c r="F266" s="8" t="n">
        <x:f>E266-D266</x:f>
        <x:v>0</x:v>
      </x:c>
      <x:c r="G266" s="9" t="str">
        <x:f>IF(D266=0,"n.a.",F266/D266)</x:f>
        <x:v>n.a.</x:v>
      </x:c>
      <x:c r="H266" s="9" t="n">
        <x:f>D266/SUMIFS($D$6:$D$449,$A$6:$A$449,A266,$B$6:$B$449,B266)</x:f>
        <x:v>0</x:v>
      </x:c>
      <x:c r="I266" s="9" t="n">
        <x:f>E266/SUMIFS($E$6:$E$449,$A$6:$A$449,A266,$B$6:$B$449,B266)</x:f>
        <x:v>0</x:v>
      </x:c>
      <x:c r="J266" s="10" t="n">
        <x:f>(I266-H266)*100</x:f>
        <x:v>0</x:v>
      </x:c>
      <x:c r="K266" s="2"/>
      <x:c r="L266" s="2"/>
      <x:c r="M266" s="2" t="str">
        <x:f>IF(OR(K266="",L266=""),"n.a.",K266-L266)</x:f>
        <x:v>n.a.</x:v>
      </x:c>
    </x:row>
    <x:row r="267" ht="22" customHeight="1">
      <x:c r="A267" s="2" t="str">
        <x:v>全样本</x:v>
      </x:c>
      <x:c r="B267" s="2" t="str">
        <x:v>H12026</x:v>
      </x:c>
      <x:c r="C267" s="2" t="str">
        <x:v>众泰</x:v>
      </x:c>
      <x:c r="D267" s="8" t="n">
        <x:v>0</x:v>
      </x:c>
      <x:c r="E267" s="8" t="n">
        <x:v>0</x:v>
      </x:c>
      <x:c r="F267" s="8" t="n">
        <x:f>E267-D267</x:f>
        <x:v>0</x:v>
      </x:c>
      <x:c r="G267" s="9" t="str">
        <x:f>IF(D267=0,"n.a.",F267/D267)</x:f>
        <x:v>n.a.</x:v>
      </x:c>
      <x:c r="H267" s="9" t="n">
        <x:f>D267/SUMIFS($D$6:$D$449,$A$6:$A$449,A267,$B$6:$B$449,B267)</x:f>
        <x:v>0</x:v>
      </x:c>
      <x:c r="I267" s="9" t="n">
        <x:f>E267/SUMIFS($E$6:$E$449,$A$6:$A$449,A267,$B$6:$B$449,B267)</x:f>
        <x:v>0</x:v>
      </x:c>
      <x:c r="J267" s="10" t="n">
        <x:f>(I267-H267)*100</x:f>
        <x:v>0</x:v>
      </x:c>
      <x:c r="K267" s="2"/>
      <x:c r="L267" s="2"/>
      <x:c r="M267" s="2" t="str">
        <x:f>IF(OR(K267="",L267=""),"n.a.",K267-L267)</x:f>
        <x:v>n.a.</x:v>
      </x:c>
    </x:row>
    <x:row r="268" ht="22" customHeight="1">
      <x:c r="A268" s="2" t="str">
        <x:v>全样本</x:v>
      </x:c>
      <x:c r="B268" s="2" t="str">
        <x:v>H12026</x:v>
      </x:c>
      <x:c r="C268" s="2" t="str">
        <x:v>欧朗</x:v>
      </x:c>
      <x:c r="D268" s="8" t="n">
        <x:v>0</x:v>
      </x:c>
      <x:c r="E268" s="8" t="n">
        <x:v>0</x:v>
      </x:c>
      <x:c r="F268" s="8" t="n">
        <x:f>E268-D268</x:f>
        <x:v>0</x:v>
      </x:c>
      <x:c r="G268" s="9" t="str">
        <x:f>IF(D268=0,"n.a.",F268/D268)</x:f>
        <x:v>n.a.</x:v>
      </x:c>
      <x:c r="H268" s="9" t="n">
        <x:f>D268/SUMIFS($D$6:$D$449,$A$6:$A$449,A268,$B$6:$B$449,B268)</x:f>
        <x:v>0</x:v>
      </x:c>
      <x:c r="I268" s="9" t="n">
        <x:f>E268/SUMIFS($E$6:$E$449,$A$6:$A$449,A268,$B$6:$B$449,B268)</x:f>
        <x:v>0</x:v>
      </x:c>
      <x:c r="J268" s="10" t="n">
        <x:f>(I268-H268)*100</x:f>
        <x:v>0</x:v>
      </x:c>
      <x:c r="K268" s="2"/>
      <x:c r="L268" s="2"/>
      <x:c r="M268" s="2" t="str">
        <x:f>IF(OR(K268="",L268=""),"n.a.",K268-L268)</x:f>
        <x:v>n.a.</x:v>
      </x:c>
    </x:row>
    <x:row r="269" ht="22" customHeight="1">
      <x:c r="A269" s="2" t="str">
        <x:v>全样本</x:v>
      </x:c>
      <x:c r="B269" s="2" t="str">
        <x:v>H12026</x:v>
      </x:c>
      <x:c r="C269" s="2" t="str">
        <x:v>斯柯达</x:v>
      </x:c>
      <x:c r="D269" s="8" t="n">
        <x:v>0</x:v>
      </x:c>
      <x:c r="E269" s="8" t="n">
        <x:v>0</x:v>
      </x:c>
      <x:c r="F269" s="8" t="n">
        <x:f>E269-D269</x:f>
        <x:v>0</x:v>
      </x:c>
      <x:c r="G269" s="9" t="str">
        <x:f>IF(D269=0,"n.a.",F269/D269)</x:f>
        <x:v>n.a.</x:v>
      </x:c>
      <x:c r="H269" s="9" t="n">
        <x:f>D269/SUMIFS($D$6:$D$449,$A$6:$A$449,A269,$B$6:$B$449,B269)</x:f>
        <x:v>0</x:v>
      </x:c>
      <x:c r="I269" s="9" t="n">
        <x:f>E269/SUMIFS($E$6:$E$449,$A$6:$A$449,A269,$B$6:$B$449,B269)</x:f>
        <x:v>0</x:v>
      </x:c>
      <x:c r="J269" s="10" t="n">
        <x:f>(I269-H269)*100</x:f>
        <x:v>0</x:v>
      </x:c>
      <x:c r="K269" s="2"/>
      <x:c r="L269" s="2"/>
      <x:c r="M269" s="2" t="str">
        <x:f>IF(OR(K269="",L269=""),"n.a.",K269-L269)</x:f>
        <x:v>n.a.</x:v>
      </x:c>
    </x:row>
    <x:row r="270" ht="22" customHeight="1">
      <x:c r="A270" s="2" t="str">
        <x:v>全样本</x:v>
      </x:c>
      <x:c r="B270" s="2" t="str">
        <x:v>H12026</x:v>
      </x:c>
      <x:c r="C270" s="2" t="str">
        <x:v>新特</x:v>
      </x:c>
      <x:c r="D270" s="8" t="n">
        <x:v>0</x:v>
      </x:c>
      <x:c r="E270" s="8" t="n">
        <x:v>0</x:v>
      </x:c>
      <x:c r="F270" s="8" t="n">
        <x:f>E270-D270</x:f>
        <x:v>0</x:v>
      </x:c>
      <x:c r="G270" s="9" t="str">
        <x:f>IF(D270=0,"n.a.",F270/D270)</x:f>
        <x:v>n.a.</x:v>
      </x:c>
      <x:c r="H270" s="9" t="n">
        <x:f>D270/SUMIFS($D$6:$D$449,$A$6:$A$449,A270,$B$6:$B$449,B270)</x:f>
        <x:v>0</x:v>
      </x:c>
      <x:c r="I270" s="9" t="n">
        <x:f>E270/SUMIFS($E$6:$E$449,$A$6:$A$449,A270,$B$6:$B$449,B270)</x:f>
        <x:v>0</x:v>
      </x:c>
      <x:c r="J270" s="10" t="n">
        <x:f>(I270-H270)*100</x:f>
        <x:v>0</x:v>
      </x:c>
      <x:c r="K270" s="2"/>
      <x:c r="L270" s="2"/>
      <x:c r="M270" s="2" t="str">
        <x:f>IF(OR(K270="",L270=""),"n.a.",K270-L270)</x:f>
        <x:v>n.a.</x:v>
      </x:c>
    </x:row>
    <x:row r="271" ht="22" customHeight="1">
      <x:c r="A271" s="2" t="str">
        <x:v>全样本</x:v>
      </x:c>
      <x:c r="B271" s="2" t="str">
        <x:v>H12026</x:v>
      </x:c>
      <x:c r="C271" s="2" t="str">
        <x:v>极越</x:v>
      </x:c>
      <x:c r="D271" s="8" t="n">
        <x:v>0</x:v>
      </x:c>
      <x:c r="E271" s="8" t="n">
        <x:v>0</x:v>
      </x:c>
      <x:c r="F271" s="8" t="n">
        <x:f>E271-D271</x:f>
        <x:v>0</x:v>
      </x:c>
      <x:c r="G271" s="9" t="str">
        <x:f>IF(D271=0,"n.a.",F271/D271)</x:f>
        <x:v>n.a.</x:v>
      </x:c>
      <x:c r="H271" s="9" t="n">
        <x:f>D271/SUMIFS($D$6:$D$449,$A$6:$A$449,A271,$B$6:$B$449,B271)</x:f>
        <x:v>0</x:v>
      </x:c>
      <x:c r="I271" s="9" t="n">
        <x:f>E271/SUMIFS($E$6:$E$449,$A$6:$A$449,A271,$B$6:$B$449,B271)</x:f>
        <x:v>0</x:v>
      </x:c>
      <x:c r="J271" s="10" t="n">
        <x:f>(I271-H271)*100</x:f>
        <x:v>0</x:v>
      </x:c>
      <x:c r="K271" s="2"/>
      <x:c r="L271" s="2"/>
      <x:c r="M271" s="2" t="str">
        <x:f>IF(OR(K271="",L271=""),"n.a.",K271-L271)</x:f>
        <x:v>n.a.</x:v>
      </x:c>
    </x:row>
    <x:row r="272" ht="22" customHeight="1">
      <x:c r="A272" s="2" t="str">
        <x:v>全样本</x:v>
      </x:c>
      <x:c r="B272" s="2" t="str">
        <x:v>H12026</x:v>
      </x:c>
      <x:c r="C272" s="2" t="str">
        <x:v>捷途</x:v>
      </x:c>
      <x:c r="D272" s="8" t="n">
        <x:v>2983</x:v>
      </x:c>
      <x:c r="E272" s="8" t="n">
        <x:v>0</x:v>
      </x:c>
      <x:c r="F272" s="8" t="n">
        <x:f>E272-D272</x:f>
        <x:v>-2983</x:v>
      </x:c>
      <x:c r="G272" s="9" t="n">
        <x:f>IF(D272=0,"n.a.",F272/D272)</x:f>
        <x:v>-1</x:v>
      </x:c>
      <x:c r="H272" s="9" t="n">
        <x:f>D272/SUMIFS($D$6:$D$449,$A$6:$A$449,A272,$B$6:$B$449,B272)</x:f>
        <x:v>0.0003665634644486894</x:v>
      </x:c>
      <x:c r="I272" s="9" t="n">
        <x:f>E272/SUMIFS($E$6:$E$449,$A$6:$A$449,A272,$B$6:$B$449,B272)</x:f>
        <x:v>0</x:v>
      </x:c>
      <x:c r="J272" s="10" t="n">
        <x:f>(I272-H272)*100</x:f>
        <x:v>-0.03665634644486894</x:v>
      </x:c>
      <x:c r="K272" s="2" t="n">
        <x:v>69</x:v>
      </x:c>
      <x:c r="L272" s="2"/>
      <x:c r="M272" s="2" t="str">
        <x:f>IF(OR(K272="",L272=""),"n.a.",K272-L272)</x:f>
        <x:v>n.a.</x:v>
      </x:c>
    </x:row>
    <x:row r="273" ht="22" customHeight="1">
      <x:c r="A273" s="2" t="str">
        <x:v>全样本</x:v>
      </x:c>
      <x:c r="B273" s="2" t="str">
        <x:v>H12026</x:v>
      </x:c>
      <x:c r="C273" s="2" t="str">
        <x:v>宝沃</x:v>
      </x:c>
      <x:c r="D273" s="8" t="n">
        <x:v>0</x:v>
      </x:c>
      <x:c r="E273" s="8" t="n">
        <x:v>0</x:v>
      </x:c>
      <x:c r="F273" s="8" t="n">
        <x:f>E273-D273</x:f>
        <x:v>0</x:v>
      </x:c>
      <x:c r="G273" s="9" t="str">
        <x:f>IF(D273=0,"n.a.",F273/D273)</x:f>
        <x:v>n.a.</x:v>
      </x:c>
      <x:c r="H273" s="9" t="n">
        <x:f>D273/SUMIFS($D$6:$D$449,$A$6:$A$449,A273,$B$6:$B$449,B273)</x:f>
        <x:v>0</x:v>
      </x:c>
      <x:c r="I273" s="9" t="n">
        <x:f>E273/SUMIFS($E$6:$E$449,$A$6:$A$449,A273,$B$6:$B$449,B273)</x:f>
        <x:v>0</x:v>
      </x:c>
      <x:c r="J273" s="10" t="n">
        <x:f>(I273-H273)*100</x:f>
        <x:v>0</x:v>
      </x:c>
      <x:c r="K273" s="2"/>
      <x:c r="L273" s="2"/>
      <x:c r="M273" s="2" t="str">
        <x:f>IF(OR(K273="",L273=""),"n.a.",K273-L273)</x:f>
        <x:v>n.a.</x:v>
      </x:c>
    </x:row>
    <x:row r="274" ht="22" customHeight="1">
      <x:c r="A274" s="2" t="str">
        <x:v>全样本</x:v>
      </x:c>
      <x:c r="B274" s="2" t="str">
        <x:v>H12026</x:v>
      </x:c>
      <x:c r="C274" s="2" t="str">
        <x:v>小虎</x:v>
      </x:c>
      <x:c r="D274" s="8" t="n">
        <x:v>0</x:v>
      </x:c>
      <x:c r="E274" s="8" t="n">
        <x:v>0</x:v>
      </x:c>
      <x:c r="F274" s="8" t="n">
        <x:f>E274-D274</x:f>
        <x:v>0</x:v>
      </x:c>
      <x:c r="G274" s="9" t="str">
        <x:f>IF(D274=0,"n.a.",F274/D274)</x:f>
        <x:v>n.a.</x:v>
      </x:c>
      <x:c r="H274" s="9" t="n">
        <x:f>D274/SUMIFS($D$6:$D$449,$A$6:$A$449,A274,$B$6:$B$449,B274)</x:f>
        <x:v>0</x:v>
      </x:c>
      <x:c r="I274" s="9" t="n">
        <x:f>E274/SUMIFS($E$6:$E$449,$A$6:$A$449,A274,$B$6:$B$449,B274)</x:f>
        <x:v>0</x:v>
      </x:c>
      <x:c r="J274" s="10" t="n">
        <x:f>(I274-H274)*100</x:f>
        <x:v>0</x:v>
      </x:c>
      <x:c r="K274" s="2"/>
      <x:c r="L274" s="2"/>
      <x:c r="M274" s="2" t="str">
        <x:f>IF(OR(K274="",L274=""),"n.a.",K274-L274)</x:f>
        <x:v>n.a.</x:v>
      </x:c>
    </x:row>
    <x:row r="275" ht="22" customHeight="1">
      <x:c r="A275" s="2" t="str">
        <x:v>全样本</x:v>
      </x:c>
      <x:c r="B275" s="2" t="str">
        <x:v>H12026</x:v>
      </x:c>
      <x:c r="C275" s="2" t="str">
        <x:v>威马汽车</x:v>
      </x:c>
      <x:c r="D275" s="8" t="n">
        <x:v>0</x:v>
      </x:c>
      <x:c r="E275" s="8" t="n">
        <x:v>0</x:v>
      </x:c>
      <x:c r="F275" s="8" t="n">
        <x:f>E275-D275</x:f>
        <x:v>0</x:v>
      </x:c>
      <x:c r="G275" s="9" t="str">
        <x:f>IF(D275=0,"n.a.",F275/D275)</x:f>
        <x:v>n.a.</x:v>
      </x:c>
      <x:c r="H275" s="9" t="n">
        <x:f>D275/SUMIFS($D$6:$D$449,$A$6:$A$449,A275,$B$6:$B$449,B275)</x:f>
        <x:v>0</x:v>
      </x:c>
      <x:c r="I275" s="9" t="n">
        <x:f>E275/SUMIFS($E$6:$E$449,$A$6:$A$449,A275,$B$6:$B$449,B275)</x:f>
        <x:v>0</x:v>
      </x:c>
      <x:c r="J275" s="10" t="n">
        <x:f>(I275-H275)*100</x:f>
        <x:v>0</x:v>
      </x:c>
      <x:c r="K275" s="2"/>
      <x:c r="L275" s="2"/>
      <x:c r="M275" s="2" t="str">
        <x:f>IF(OR(K275="",L275=""),"n.a.",K275-L275)</x:f>
        <x:v>n.a.</x:v>
      </x:c>
    </x:row>
    <x:row r="276" ht="22" customHeight="1">
      <x:c r="A276" s="2" t="str">
        <x:v>全样本</x:v>
      </x:c>
      <x:c r="B276" s="2" t="str">
        <x:v>H12026</x:v>
      </x:c>
      <x:c r="C276" s="2" t="str">
        <x:v>广汽集团</x:v>
      </x:c>
      <x:c r="D276" s="8" t="n">
        <x:v>0</x:v>
      </x:c>
      <x:c r="E276" s="8" t="n">
        <x:v>0</x:v>
      </x:c>
      <x:c r="F276" s="8" t="n">
        <x:f>E276-D276</x:f>
        <x:v>0</x:v>
      </x:c>
      <x:c r="G276" s="9" t="str">
        <x:f>IF(D276=0,"n.a.",F276/D276)</x:f>
        <x:v>n.a.</x:v>
      </x:c>
      <x:c r="H276" s="9" t="n">
        <x:f>D276/SUMIFS($D$6:$D$449,$A$6:$A$449,A276,$B$6:$B$449,B276)</x:f>
        <x:v>0</x:v>
      </x:c>
      <x:c r="I276" s="9" t="n">
        <x:f>E276/SUMIFS($E$6:$E$449,$A$6:$A$449,A276,$B$6:$B$449,B276)</x:f>
        <x:v>0</x:v>
      </x:c>
      <x:c r="J276" s="10" t="n">
        <x:f>(I276-H276)*100</x:f>
        <x:v>0</x:v>
      </x:c>
      <x:c r="K276" s="2"/>
      <x:c r="L276" s="2"/>
      <x:c r="M276" s="2" t="str">
        <x:f>IF(OR(K276="",L276=""),"n.a.",K276-L276)</x:f>
        <x:v>n.a.</x:v>
      </x:c>
    </x:row>
    <x:row r="277" ht="22" customHeight="1">
      <x:c r="A277" s="2" t="str">
        <x:v>全样本</x:v>
      </x:c>
      <x:c r="B277" s="2" t="str">
        <x:v>H12026</x:v>
      </x:c>
      <x:c r="C277" s="2" t="str">
        <x:v>广汽吉奥</x:v>
      </x:c>
      <x:c r="D277" s="8" t="n">
        <x:v>0</x:v>
      </x:c>
      <x:c r="E277" s="8" t="n">
        <x:v>0</x:v>
      </x:c>
      <x:c r="F277" s="8" t="n">
        <x:f>E277-D277</x:f>
        <x:v>0</x:v>
      </x:c>
      <x:c r="G277" s="9" t="str">
        <x:f>IF(D277=0,"n.a.",F277/D277)</x:f>
        <x:v>n.a.</x:v>
      </x:c>
      <x:c r="H277" s="9" t="n">
        <x:f>D277/SUMIFS($D$6:$D$449,$A$6:$A$449,A277,$B$6:$B$449,B277)</x:f>
        <x:v>0</x:v>
      </x:c>
      <x:c r="I277" s="9" t="n">
        <x:f>E277/SUMIFS($E$6:$E$449,$A$6:$A$449,A277,$B$6:$B$449,B277)</x:f>
        <x:v>0</x:v>
      </x:c>
      <x:c r="J277" s="10" t="n">
        <x:f>(I277-H277)*100</x:f>
        <x:v>0</x:v>
      </x:c>
      <x:c r="K277" s="2"/>
      <x:c r="L277" s="2"/>
      <x:c r="M277" s="2" t="str">
        <x:f>IF(OR(K277="",L277=""),"n.a.",K277-L277)</x:f>
        <x:v>n.a.</x:v>
      </x:c>
    </x:row>
    <x:row r="278" ht="22" customHeight="1">
      <x:c r="A278" s="2" t="str">
        <x:v>全样本</x:v>
      </x:c>
      <x:c r="B278" s="2" t="str">
        <x:v>H12026</x:v>
      </x:c>
      <x:c r="C278" s="2" t="str">
        <x:v>开瑞</x:v>
      </x:c>
      <x:c r="D278" s="8" t="n">
        <x:v>0</x:v>
      </x:c>
      <x:c r="E278" s="8" t="n">
        <x:v>0</x:v>
      </x:c>
      <x:c r="F278" s="8" t="n">
        <x:f>E278-D278</x:f>
        <x:v>0</x:v>
      </x:c>
      <x:c r="G278" s="9" t="str">
        <x:f>IF(D278=0,"n.a.",F278/D278)</x:f>
        <x:v>n.a.</x:v>
      </x:c>
      <x:c r="H278" s="9" t="n">
        <x:f>D278/SUMIFS($D$6:$D$449,$A$6:$A$449,A278,$B$6:$B$449,B278)</x:f>
        <x:v>0</x:v>
      </x:c>
      <x:c r="I278" s="9" t="n">
        <x:f>E278/SUMIFS($E$6:$E$449,$A$6:$A$449,A278,$B$6:$B$449,B278)</x:f>
        <x:v>0</x:v>
      </x:c>
      <x:c r="J278" s="10" t="n">
        <x:f>(I278-H278)*100</x:f>
        <x:v>0</x:v>
      </x:c>
      <x:c r="K278" s="2"/>
      <x:c r="L278" s="2"/>
      <x:c r="M278" s="2" t="str">
        <x:f>IF(OR(K278="",L278=""),"n.a.",K278-L278)</x:f>
        <x:v>n.a.</x:v>
      </x:c>
    </x:row>
    <x:row r="279" ht="22" customHeight="1">
      <x:c r="A279" s="2" t="str">
        <x:v>全样本</x:v>
      </x:c>
      <x:c r="B279" s="2" t="str">
        <x:v>H12026</x:v>
      </x:c>
      <x:c r="C279" s="2" t="str">
        <x:v>御捷</x:v>
      </x:c>
      <x:c r="D279" s="8" t="n">
        <x:v>0</x:v>
      </x:c>
      <x:c r="E279" s="8" t="n">
        <x:v>0</x:v>
      </x:c>
      <x:c r="F279" s="8" t="n">
        <x:f>E279-D279</x:f>
        <x:v>0</x:v>
      </x:c>
      <x:c r="G279" s="9" t="str">
        <x:f>IF(D279=0,"n.a.",F279/D279)</x:f>
        <x:v>n.a.</x:v>
      </x:c>
      <x:c r="H279" s="9" t="n">
        <x:f>D279/SUMIFS($D$6:$D$449,$A$6:$A$449,A279,$B$6:$B$449,B279)</x:f>
        <x:v>0</x:v>
      </x:c>
      <x:c r="I279" s="9" t="n">
        <x:f>E279/SUMIFS($E$6:$E$449,$A$6:$A$449,A279,$B$6:$B$449,B279)</x:f>
        <x:v>0</x:v>
      </x:c>
      <x:c r="J279" s="10" t="n">
        <x:f>(I279-H279)*100</x:f>
        <x:v>0</x:v>
      </x:c>
      <x:c r="K279" s="2"/>
      <x:c r="L279" s="2"/>
      <x:c r="M279" s="2" t="str">
        <x:f>IF(OR(K279="",L279=""),"n.a.",K279-L279)</x:f>
        <x:v>n.a.</x:v>
      </x:c>
    </x:row>
    <x:row r="280" ht="22" customHeight="1">
      <x:c r="A280" s="2" t="str">
        <x:v>全样本</x:v>
      </x:c>
      <x:c r="B280" s="2" t="str">
        <x:v>H12026</x:v>
      </x:c>
      <x:c r="C280" s="2" t="str">
        <x:v>思皓</x:v>
      </x:c>
      <x:c r="D280" s="8" t="n">
        <x:v>0</x:v>
      </x:c>
      <x:c r="E280" s="8" t="n">
        <x:v>0</x:v>
      </x:c>
      <x:c r="F280" s="8" t="n">
        <x:f>E280-D280</x:f>
        <x:v>0</x:v>
      </x:c>
      <x:c r="G280" s="9" t="str">
        <x:f>IF(D280=0,"n.a.",F280/D280)</x:f>
        <x:v>n.a.</x:v>
      </x:c>
      <x:c r="H280" s="9" t="n">
        <x:f>D280/SUMIFS($D$6:$D$449,$A$6:$A$449,A280,$B$6:$B$449,B280)</x:f>
        <x:v>0</x:v>
      </x:c>
      <x:c r="I280" s="9" t="n">
        <x:f>E280/SUMIFS($E$6:$E$449,$A$6:$A$449,A280,$B$6:$B$449,B280)</x:f>
        <x:v>0</x:v>
      </x:c>
      <x:c r="J280" s="10" t="n">
        <x:f>(I280-H280)*100</x:f>
        <x:v>0</x:v>
      </x:c>
      <x:c r="K280" s="2"/>
      <x:c r="L280" s="2"/>
      <x:c r="M280" s="2" t="str">
        <x:f>IF(OR(K280="",L280=""),"n.a.",K280-L280)</x:f>
        <x:v>n.a.</x:v>
      </x:c>
    </x:row>
    <x:row r="281" ht="22" customHeight="1">
      <x:c r="A281" s="2" t="str">
        <x:v>全样本</x:v>
      </x:c>
      <x:c r="B281" s="2" t="str">
        <x:v>H12026</x:v>
      </x:c>
      <x:c r="C281" s="2" t="str">
        <x:v>哪吒汽车</x:v>
      </x:c>
      <x:c r="D281" s="8" t="n">
        <x:v>0</x:v>
      </x:c>
      <x:c r="E281" s="8" t="n">
        <x:v>0</x:v>
      </x:c>
      <x:c r="F281" s="8" t="n">
        <x:f>E281-D281</x:f>
        <x:v>0</x:v>
      </x:c>
      <x:c r="G281" s="9" t="str">
        <x:f>IF(D281=0,"n.a.",F281/D281)</x:f>
        <x:v>n.a.</x:v>
      </x:c>
      <x:c r="H281" s="9" t="n">
        <x:f>D281/SUMIFS($D$6:$D$449,$A$6:$A$449,A281,$B$6:$B$449,B281)</x:f>
        <x:v>0</x:v>
      </x:c>
      <x:c r="I281" s="9" t="n">
        <x:f>E281/SUMIFS($E$6:$E$449,$A$6:$A$449,A281,$B$6:$B$449,B281)</x:f>
        <x:v>0</x:v>
      </x:c>
      <x:c r="J281" s="10" t="n">
        <x:f>(I281-H281)*100</x:f>
        <x:v>0</x:v>
      </x:c>
      <x:c r="K281" s="2"/>
      <x:c r="L281" s="2"/>
      <x:c r="M281" s="2" t="str">
        <x:f>IF(OR(K281="",L281=""),"n.a.",K281-L281)</x:f>
        <x:v>n.a.</x:v>
      </x:c>
    </x:row>
    <x:row r="282" ht="22" customHeight="1">
      <x:c r="A282" s="2" t="str">
        <x:v>全样本</x:v>
      </x:c>
      <x:c r="B282" s="2" t="str">
        <x:v>H12026</x:v>
      </x:c>
      <x:c r="C282" s="2" t="str">
        <x:v>力帆</x:v>
      </x:c>
      <x:c r="D282" s="8" t="n">
        <x:v>0</x:v>
      </x:c>
      <x:c r="E282" s="8" t="n">
        <x:v>0</x:v>
      </x:c>
      <x:c r="F282" s="8" t="n">
        <x:f>E282-D282</x:f>
        <x:v>0</x:v>
      </x:c>
      <x:c r="G282" s="9" t="str">
        <x:f>IF(D282=0,"n.a.",F282/D282)</x:f>
        <x:v>n.a.</x:v>
      </x:c>
      <x:c r="H282" s="9" t="n">
        <x:f>D282/SUMIFS($D$6:$D$449,$A$6:$A$449,A282,$B$6:$B$449,B282)</x:f>
        <x:v>0</x:v>
      </x:c>
      <x:c r="I282" s="9" t="n">
        <x:f>E282/SUMIFS($E$6:$E$449,$A$6:$A$449,A282,$B$6:$B$449,B282)</x:f>
        <x:v>0</x:v>
      </x:c>
      <x:c r="J282" s="10" t="n">
        <x:f>(I282-H282)*100</x:f>
        <x:v>0</x:v>
      </x:c>
      <x:c r="K282" s="2"/>
      <x:c r="L282" s="2"/>
      <x:c r="M282" s="2" t="str">
        <x:f>IF(OR(K282="",L282=""),"n.a.",K282-L282)</x:f>
        <x:v>n.a.</x:v>
      </x:c>
    </x:row>
    <x:row r="283" ht="22" customHeight="1">
      <x:c r="A283" s="2" t="str">
        <x:v>全样本</x:v>
      </x:c>
      <x:c r="B283" s="2" t="str">
        <x:v>H12026</x:v>
      </x:c>
      <x:c r="C283" s="2" t="str">
        <x:v>华骐</x:v>
      </x:c>
      <x:c r="D283" s="8" t="n">
        <x:v>0</x:v>
      </x:c>
      <x:c r="E283" s="8" t="n">
        <x:v>0</x:v>
      </x:c>
      <x:c r="F283" s="8" t="n">
        <x:f>E283-D283</x:f>
        <x:v>0</x:v>
      </x:c>
      <x:c r="G283" s="9" t="str">
        <x:f>IF(D283=0,"n.a.",F283/D283)</x:f>
        <x:v>n.a.</x:v>
      </x:c>
      <x:c r="H283" s="9" t="n">
        <x:f>D283/SUMIFS($D$6:$D$449,$A$6:$A$449,A283,$B$6:$B$449,B283)</x:f>
        <x:v>0</x:v>
      </x:c>
      <x:c r="I283" s="9" t="n">
        <x:f>E283/SUMIFS($E$6:$E$449,$A$6:$A$449,A283,$B$6:$B$449,B283)</x:f>
        <x:v>0</x:v>
      </x:c>
      <x:c r="J283" s="10" t="n">
        <x:f>(I283-H283)*100</x:f>
        <x:v>0</x:v>
      </x:c>
      <x:c r="K283" s="2"/>
      <x:c r="L283" s="2"/>
      <x:c r="M283" s="2" t="str">
        <x:f>IF(OR(K283="",L283=""),"n.a.",K283-L283)</x:f>
        <x:v>n.a.</x:v>
      </x:c>
    </x:row>
    <x:row r="284" ht="22" customHeight="1">
      <x:c r="A284" s="2" t="str">
        <x:v>全样本</x:v>
      </x:c>
      <x:c r="B284" s="2" t="str">
        <x:v>H12026</x:v>
      </x:c>
      <x:c r="C284" s="2" t="str">
        <x:v>华泰新能源</x:v>
      </x:c>
      <x:c r="D284" s="8" t="n">
        <x:v>0</x:v>
      </x:c>
      <x:c r="E284" s="8" t="n">
        <x:v>0</x:v>
      </x:c>
      <x:c r="F284" s="8" t="n">
        <x:f>E284-D284</x:f>
        <x:v>0</x:v>
      </x:c>
      <x:c r="G284" s="9" t="str">
        <x:f>IF(D284=0,"n.a.",F284/D284)</x:f>
        <x:v>n.a.</x:v>
      </x:c>
      <x:c r="H284" s="9" t="n">
        <x:f>D284/SUMIFS($D$6:$D$449,$A$6:$A$449,A284,$B$6:$B$449,B284)</x:f>
        <x:v>0</x:v>
      </x:c>
      <x:c r="I284" s="9" t="n">
        <x:f>E284/SUMIFS($E$6:$E$449,$A$6:$A$449,A284,$B$6:$B$449,B284)</x:f>
        <x:v>0</x:v>
      </x:c>
      <x:c r="J284" s="10" t="n">
        <x:f>(I284-H284)*100</x:f>
        <x:v>0</x:v>
      </x:c>
      <x:c r="K284" s="2"/>
      <x:c r="L284" s="2"/>
      <x:c r="M284" s="2" t="str">
        <x:f>IF(OR(K284="",L284=""),"n.a.",K284-L284)</x:f>
        <x:v>n.a.</x:v>
      </x:c>
    </x:row>
    <x:row r="285" ht="22" customHeight="1">
      <x:c r="A285" s="2" t="str">
        <x:v>全样本</x:v>
      </x:c>
      <x:c r="B285" s="2" t="str">
        <x:v>H12026</x:v>
      </x:c>
      <x:c r="C285" s="2" t="str">
        <x:v>合创汽车</x:v>
      </x:c>
      <x:c r="D285" s="8" t="n">
        <x:v>87</x:v>
      </x:c>
      <x:c r="E285" s="8" t="n">
        <x:v>0</x:v>
      </x:c>
      <x:c r="F285" s="8" t="n">
        <x:f>E285-D285</x:f>
        <x:v>-87</x:v>
      </x:c>
      <x:c r="G285" s="9" t="n">
        <x:f>IF(D285=0,"n.a.",F285/D285)</x:f>
        <x:v>-1</x:v>
      </x:c>
      <x:c r="H285" s="9" t="n">
        <x:f>D285/SUMIFS($D$6:$D$449,$A$6:$A$449,A285,$B$6:$B$449,B285)</x:f>
        <x:v>0.00001069092236239892</x:v>
      </x:c>
      <x:c r="I285" s="9" t="n">
        <x:f>E285/SUMIFS($E$6:$E$449,$A$6:$A$449,A285,$B$6:$B$449,B285)</x:f>
        <x:v>0</x:v>
      </x:c>
      <x:c r="J285" s="10" t="n">
        <x:f>(I285-H285)*100</x:f>
        <x:v>-0.001069092236239892</x:v>
      </x:c>
      <x:c r="K285" s="2" t="n">
        <x:v>79</x:v>
      </x:c>
      <x:c r="L285" s="2"/>
      <x:c r="M285" s="2" t="str">
        <x:f>IF(OR(K285="",L285=""),"n.a.",K285-L285)</x:f>
        <x:v>n.a.</x:v>
      </x:c>
    </x:row>
    <x:row r="286" ht="22" customHeight="1">
      <x:c r="A286" s="2" t="str">
        <x:v>全样本</x:v>
      </x:c>
      <x:c r="B286" s="2" t="str">
        <x:v>H12026</x:v>
      </x:c>
      <x:c r="C286" s="2" t="str">
        <x:v>华泰</x:v>
      </x:c>
      <x:c r="D286" s="8" t="n">
        <x:v>0</x:v>
      </x:c>
      <x:c r="E286" s="8" t="n">
        <x:v>0</x:v>
      </x:c>
      <x:c r="F286" s="8" t="n">
        <x:f>E286-D286</x:f>
        <x:v>0</x:v>
      </x:c>
      <x:c r="G286" s="9" t="str">
        <x:f>IF(D286=0,"n.a.",F286/D286)</x:f>
        <x:v>n.a.</x:v>
      </x:c>
      <x:c r="H286" s="9" t="n">
        <x:f>D286/SUMIFS($D$6:$D$449,$A$6:$A$449,A286,$B$6:$B$449,B286)</x:f>
        <x:v>0</x:v>
      </x:c>
      <x:c r="I286" s="9" t="n">
        <x:f>E286/SUMIFS($E$6:$E$449,$A$6:$A$449,A286,$B$6:$B$449,B286)</x:f>
        <x:v>0</x:v>
      </x:c>
      <x:c r="J286" s="10" t="n">
        <x:f>(I286-H286)*100</x:f>
        <x:v>0</x:v>
      </x:c>
      <x:c r="K286" s="2"/>
      <x:c r="L286" s="2"/>
      <x:c r="M286" s="2" t="str">
        <x:f>IF(OR(K286="",L286=""),"n.a.",K286-L286)</x:f>
        <x:v>n.a.</x:v>
      </x:c>
    </x:row>
    <x:row r="287" ht="22" customHeight="1">
      <x:c r="A287" s="2" t="str">
        <x:v>全样本</x:v>
      </x:c>
      <x:c r="B287" s="2" t="str">
        <x:v>H12026</x:v>
      </x:c>
      <x:c r="C287" s="2" t="str">
        <x:v>北汽昌河</x:v>
      </x:c>
      <x:c r="D287" s="8" t="n">
        <x:v>0</x:v>
      </x:c>
      <x:c r="E287" s="8" t="n">
        <x:v>0</x:v>
      </x:c>
      <x:c r="F287" s="8" t="n">
        <x:f>E287-D287</x:f>
        <x:v>0</x:v>
      </x:c>
      <x:c r="G287" s="9" t="str">
        <x:f>IF(D287=0,"n.a.",F287/D287)</x:f>
        <x:v>n.a.</x:v>
      </x:c>
      <x:c r="H287" s="9" t="n">
        <x:f>D287/SUMIFS($D$6:$D$449,$A$6:$A$449,A287,$B$6:$B$449,B287)</x:f>
        <x:v>0</x:v>
      </x:c>
      <x:c r="I287" s="9" t="n">
        <x:f>E287/SUMIFS($E$6:$E$449,$A$6:$A$449,A287,$B$6:$B$449,B287)</x:f>
        <x:v>0</x:v>
      </x:c>
      <x:c r="J287" s="10" t="n">
        <x:f>(I287-H287)*100</x:f>
        <x:v>0</x:v>
      </x:c>
      <x:c r="K287" s="2"/>
      <x:c r="L287" s="2"/>
      <x:c r="M287" s="2" t="str">
        <x:f>IF(OR(K287="",L287=""),"n.a.",K287-L287)</x:f>
        <x:v>n.a.</x:v>
      </x:c>
    </x:row>
    <x:row r="288" ht="22" customHeight="1">
      <x:c r="A288" s="2" t="str">
        <x:v>全样本</x:v>
      </x:c>
      <x:c r="B288" s="2" t="str">
        <x:v>H12026</x:v>
      </x:c>
      <x:c r="C288" s="2" t="str">
        <x:v>北汽幻速</x:v>
      </x:c>
      <x:c r="D288" s="8" t="n">
        <x:v>0</x:v>
      </x:c>
      <x:c r="E288" s="8" t="n">
        <x:v>0</x:v>
      </x:c>
      <x:c r="F288" s="8" t="n">
        <x:f>E288-D288</x:f>
        <x:v>0</x:v>
      </x:c>
      <x:c r="G288" s="9" t="str">
        <x:f>IF(D288=0,"n.a.",F288/D288)</x:f>
        <x:v>n.a.</x:v>
      </x:c>
      <x:c r="H288" s="9" t="n">
        <x:f>D288/SUMIFS($D$6:$D$449,$A$6:$A$449,A288,$B$6:$B$449,B288)</x:f>
        <x:v>0</x:v>
      </x:c>
      <x:c r="I288" s="9" t="n">
        <x:f>E288/SUMIFS($E$6:$E$449,$A$6:$A$449,A288,$B$6:$B$449,B288)</x:f>
        <x:v>0</x:v>
      </x:c>
      <x:c r="J288" s="10" t="n">
        <x:f>(I288-H288)*100</x:f>
        <x:v>0</x:v>
      </x:c>
      <x:c r="K288" s="2"/>
      <x:c r="L288" s="2"/>
      <x:c r="M288" s="2" t="str">
        <x:f>IF(OR(K288="",L288=""),"n.a.",K288-L288)</x:f>
        <x:v>n.a.</x:v>
      </x:c>
    </x:row>
    <x:row r="289" ht="22" customHeight="1">
      <x:c r="A289" s="2" t="str">
        <x:v>全样本</x:v>
      </x:c>
      <x:c r="B289" s="2" t="str">
        <x:v>H12026</x:v>
      </x:c>
      <x:c r="C289" s="2" t="str">
        <x:v>北汽新能源</x:v>
      </x:c>
      <x:c r="D289" s="8" t="n">
        <x:v>0</x:v>
      </x:c>
      <x:c r="E289" s="8" t="n">
        <x:v>0</x:v>
      </x:c>
      <x:c r="F289" s="8" t="n">
        <x:f>E289-D289</x:f>
        <x:v>0</x:v>
      </x:c>
      <x:c r="G289" s="9" t="str">
        <x:f>IF(D289=0,"n.a.",F289/D289)</x:f>
        <x:v>n.a.</x:v>
      </x:c>
      <x:c r="H289" s="9" t="n">
        <x:f>D289/SUMIFS($D$6:$D$449,$A$6:$A$449,A289,$B$6:$B$449,B289)</x:f>
        <x:v>0</x:v>
      </x:c>
      <x:c r="I289" s="9" t="n">
        <x:f>E289/SUMIFS($E$6:$E$449,$A$6:$A$449,A289,$B$6:$B$449,B289)</x:f>
        <x:v>0</x:v>
      </x:c>
      <x:c r="J289" s="10" t="n">
        <x:f>(I289-H289)*100</x:f>
        <x:v>0</x:v>
      </x:c>
      <x:c r="K289" s="2"/>
      <x:c r="L289" s="2"/>
      <x:c r="M289" s="2" t="str">
        <x:f>IF(OR(K289="",L289=""),"n.a.",K289-L289)</x:f>
        <x:v>n.a.</x:v>
      </x:c>
    </x:row>
    <x:row r="290" ht="22" customHeight="1">
      <x:c r="A290" s="2" t="str">
        <x:v>全样本</x:v>
      </x:c>
      <x:c r="B290" s="2" t="str">
        <x:v>H12026</x:v>
      </x:c>
      <x:c r="C290" s="2" t="str">
        <x:v>大乘汽车</x:v>
      </x:c>
      <x:c r="D290" s="8" t="n">
        <x:v>0</x:v>
      </x:c>
      <x:c r="E290" s="8" t="n">
        <x:v>0</x:v>
      </x:c>
      <x:c r="F290" s="8" t="n">
        <x:f>E290-D290</x:f>
        <x:v>0</x:v>
      </x:c>
      <x:c r="G290" s="9" t="str">
        <x:f>IF(D290=0,"n.a.",F290/D290)</x:f>
        <x:v>n.a.</x:v>
      </x:c>
      <x:c r="H290" s="9" t="n">
        <x:f>D290/SUMIFS($D$6:$D$449,$A$6:$A$449,A290,$B$6:$B$449,B290)</x:f>
        <x:v>0</x:v>
      </x:c>
      <x:c r="I290" s="9" t="n">
        <x:f>E290/SUMIFS($E$6:$E$449,$A$6:$A$449,A290,$B$6:$B$449,B290)</x:f>
        <x:v>0</x:v>
      </x:c>
      <x:c r="J290" s="10" t="n">
        <x:f>(I290-H290)*100</x:f>
        <x:v>0</x:v>
      </x:c>
      <x:c r="K290" s="2"/>
      <x:c r="L290" s="2"/>
      <x:c r="M290" s="2" t="str">
        <x:f>IF(OR(K290="",L290=""),"n.a.",K290-L290)</x:f>
        <x:v>n.a.</x:v>
      </x:c>
    </x:row>
    <x:row r="291" ht="22" customHeight="1">
      <x:c r="A291" s="2" t="str">
        <x:v>全样本</x:v>
      </x:c>
      <x:c r="B291" s="2" t="str">
        <x:v>H12026</x:v>
      </x:c>
      <x:c r="C291" s="2" t="str">
        <x:v>北京越野</x:v>
      </x:c>
      <x:c r="D291" s="8" t="n">
        <x:v>0</x:v>
      </x:c>
      <x:c r="E291" s="8" t="n">
        <x:v>0</x:v>
      </x:c>
      <x:c r="F291" s="8" t="n">
        <x:f>E291-D291</x:f>
        <x:v>0</x:v>
      </x:c>
      <x:c r="G291" s="9" t="str">
        <x:f>IF(D291=0,"n.a.",F291/D291)</x:f>
        <x:v>n.a.</x:v>
      </x:c>
      <x:c r="H291" s="9" t="n">
        <x:f>D291/SUMIFS($D$6:$D$449,$A$6:$A$449,A291,$B$6:$B$449,B291)</x:f>
        <x:v>0</x:v>
      </x:c>
      <x:c r="I291" s="9" t="n">
        <x:f>E291/SUMIFS($E$6:$E$449,$A$6:$A$449,A291,$B$6:$B$449,B291)</x:f>
        <x:v>0</x:v>
      </x:c>
      <x:c r="J291" s="10" t="n">
        <x:f>(I291-H291)*100</x:f>
        <x:v>0</x:v>
      </x:c>
      <x:c r="K291" s="2"/>
      <x:c r="L291" s="2"/>
      <x:c r="M291" s="2" t="str">
        <x:f>IF(OR(K291="",L291=""),"n.a.",K291-L291)</x:f>
        <x:v>n.a.</x:v>
      </x:c>
    </x:row>
    <x:row r="292" ht="22" customHeight="1">
      <x:c r="A292" s="2" t="str">
        <x:v>全样本</x:v>
      </x:c>
      <x:c r="B292" s="2" t="str">
        <x:v>H12026</x:v>
      </x:c>
      <x:c r="C292" s="2" t="str">
        <x:v>北汽威旺</x:v>
      </x:c>
      <x:c r="D292" s="8" t="n">
        <x:v>0</x:v>
      </x:c>
      <x:c r="E292" s="8" t="n">
        <x:v>0</x:v>
      </x:c>
      <x:c r="F292" s="8" t="n">
        <x:f>E292-D292</x:f>
        <x:v>0</x:v>
      </x:c>
      <x:c r="G292" s="9" t="str">
        <x:f>IF(D292=0,"n.a.",F292/D292)</x:f>
        <x:v>n.a.</x:v>
      </x:c>
      <x:c r="H292" s="9" t="n">
        <x:f>D292/SUMIFS($D$6:$D$449,$A$6:$A$449,A292,$B$6:$B$449,B292)</x:f>
        <x:v>0</x:v>
      </x:c>
      <x:c r="I292" s="9" t="n">
        <x:f>E292/SUMIFS($E$6:$E$449,$A$6:$A$449,A292,$B$6:$B$449,B292)</x:f>
        <x:v>0</x:v>
      </x:c>
      <x:c r="J292" s="10" t="n">
        <x:f>(I292-H292)*100</x:f>
        <x:v>0</x:v>
      </x:c>
      <x:c r="K292" s="2"/>
      <x:c r="L292" s="2"/>
      <x:c r="M292" s="2" t="str">
        <x:f>IF(OR(K292="",L292=""),"n.a.",K292-L292)</x:f>
        <x:v>n.a.</x:v>
      </x:c>
    </x:row>
    <x:row r="293" ht="22" customHeight="1">
      <x:c r="A293" s="2" t="str">
        <x:v>全样本</x:v>
      </x:c>
      <x:c r="B293" s="2" t="str">
        <x:v>H12026</x:v>
      </x:c>
      <x:c r="C293" s="2" t="str">
        <x:v>华颂</x:v>
      </x:c>
      <x:c r="D293" s="8" t="n">
        <x:v>0</x:v>
      </x:c>
      <x:c r="E293" s="8" t="n">
        <x:v>0</x:v>
      </x:c>
      <x:c r="F293" s="8" t="n">
        <x:f>E293-D293</x:f>
        <x:v>0</x:v>
      </x:c>
      <x:c r="G293" s="9" t="str">
        <x:f>IF(D293=0,"n.a.",F293/D293)</x:f>
        <x:v>n.a.</x:v>
      </x:c>
      <x:c r="H293" s="9" t="n">
        <x:f>D293/SUMIFS($D$6:$D$449,$A$6:$A$449,A293,$B$6:$B$449,B293)</x:f>
        <x:v>0</x:v>
      </x:c>
      <x:c r="I293" s="9" t="n">
        <x:f>E293/SUMIFS($E$6:$E$449,$A$6:$A$449,A293,$B$6:$B$449,B293)</x:f>
        <x:v>0</x:v>
      </x:c>
      <x:c r="J293" s="10" t="n">
        <x:f>(I293-H293)*100</x:f>
        <x:v>0</x:v>
      </x:c>
      <x:c r="K293" s="2"/>
      <x:c r="L293" s="2"/>
      <x:c r="M293" s="2" t="str">
        <x:f>IF(OR(K293="",L293=""),"n.a.",K293-L293)</x:f>
        <x:v>n.a.</x:v>
      </x:c>
    </x:row>
    <x:row r="294" ht="22" customHeight="1">
      <x:c r="A294" s="2" t="str">
        <x:v>全样本</x:v>
      </x:c>
      <x:c r="B294" s="2" t="str">
        <x:v>H12026</x:v>
      </x:c>
      <x:c r="C294" s="2" t="str">
        <x:v>君马汽车</x:v>
      </x:c>
      <x:c r="D294" s="8" t="n">
        <x:v>0</x:v>
      </x:c>
      <x:c r="E294" s="8" t="n">
        <x:v>0</x:v>
      </x:c>
      <x:c r="F294" s="8" t="n">
        <x:f>E294-D294</x:f>
        <x:v>0</x:v>
      </x:c>
      <x:c r="G294" s="9" t="str">
        <x:f>IF(D294=0,"n.a.",F294/D294)</x:f>
        <x:v>n.a.</x:v>
      </x:c>
      <x:c r="H294" s="9" t="n">
        <x:f>D294/SUMIFS($D$6:$D$449,$A$6:$A$449,A294,$B$6:$B$449,B294)</x:f>
        <x:v>0</x:v>
      </x:c>
      <x:c r="I294" s="9" t="n">
        <x:f>E294/SUMIFS($E$6:$E$449,$A$6:$A$449,A294,$B$6:$B$449,B294)</x:f>
        <x:v>0</x:v>
      </x:c>
      <x:c r="J294" s="10" t="n">
        <x:f>(I294-H294)*100</x:f>
        <x:v>0</x:v>
      </x:c>
      <x:c r="K294" s="2"/>
      <x:c r="L294" s="2"/>
      <x:c r="M294" s="2" t="str">
        <x:f>IF(OR(K294="",L294=""),"n.a.",K294-L294)</x:f>
        <x:v>n.a.</x:v>
      </x:c>
    </x:row>
    <x:row r="295" ht="22" customHeight="1">
      <x:c r="A295" s="2" t="str">
        <x:v>全样本</x:v>
      </x:c>
      <x:c r="B295" s="2" t="str">
        <x:v>H12026</x:v>
      </x:c>
      <x:c r="C295" s="2" t="str">
        <x:v>思铭</x:v>
      </x:c>
      <x:c r="D295" s="8" t="n">
        <x:v>0</x:v>
      </x:c>
      <x:c r="E295" s="8" t="n">
        <x:v>0</x:v>
      </x:c>
      <x:c r="F295" s="8" t="n">
        <x:f>E295-D295</x:f>
        <x:v>0</x:v>
      </x:c>
      <x:c r="G295" s="9" t="str">
        <x:f>IF(D295=0,"n.a.",F295/D295)</x:f>
        <x:v>n.a.</x:v>
      </x:c>
      <x:c r="H295" s="9" t="n">
        <x:f>D295/SUMIFS($D$6:$D$449,$A$6:$A$449,A295,$B$6:$B$449,B295)</x:f>
        <x:v>0</x:v>
      </x:c>
      <x:c r="I295" s="9" t="n">
        <x:f>E295/SUMIFS($E$6:$E$449,$A$6:$A$449,A295,$B$6:$B$449,B295)</x:f>
        <x:v>0</x:v>
      </x:c>
      <x:c r="J295" s="10" t="n">
        <x:f>(I295-H295)*100</x:f>
        <x:v>0</x:v>
      </x:c>
      <x:c r="K295" s="2"/>
      <x:c r="L295" s="2"/>
      <x:c r="M295" s="2" t="str">
        <x:f>IF(OR(K295="",L295=""),"n.a.",K295-L295)</x:f>
        <x:v>n.a.</x:v>
      </x:c>
    </x:row>
    <x:row r="296" ht="22" customHeight="1">
      <x:c r="A296" s="2" t="str">
        <x:v>全样本</x:v>
      </x:c>
      <x:c r="B296" s="2" t="str">
        <x:v>H12026</x:v>
      </x:c>
      <x:c r="C296" s="2" t="str">
        <x:v>哈弗</x:v>
      </x:c>
      <x:c r="D296" s="8" t="n">
        <x:v>0</x:v>
      </x:c>
      <x:c r="E296" s="8" t="n">
        <x:v>0</x:v>
      </x:c>
      <x:c r="F296" s="8" t="n">
        <x:f>E296-D296</x:f>
        <x:v>0</x:v>
      </x:c>
      <x:c r="G296" s="9" t="str">
        <x:f>IF(D296=0,"n.a.",F296/D296)</x:f>
        <x:v>n.a.</x:v>
      </x:c>
      <x:c r="H296" s="9" t="n">
        <x:f>D296/SUMIFS($D$6:$D$449,$A$6:$A$449,A296,$B$6:$B$449,B296)</x:f>
        <x:v>0</x:v>
      </x:c>
      <x:c r="I296" s="9" t="n">
        <x:f>E296/SUMIFS($E$6:$E$449,$A$6:$A$449,A296,$B$6:$B$449,B296)</x:f>
        <x:v>0</x:v>
      </x:c>
      <x:c r="J296" s="10" t="n">
        <x:f>(I296-H296)*100</x:f>
        <x:v>0</x:v>
      </x:c>
      <x:c r="K296" s="2"/>
      <x:c r="L296" s="2"/>
      <x:c r="M296" s="2" t="str">
        <x:f>IF(OR(K296="",L296=""),"n.a.",K296-L296)</x:f>
        <x:v>n.a.</x:v>
      </x:c>
    </x:row>
    <x:row r="297" ht="22" customHeight="1">
      <x:c r="A297" s="2" t="str">
        <x:v>全样本</x:v>
      </x:c>
      <x:c r="B297" s="2" t="str">
        <x:v>H12026</x:v>
      </x:c>
      <x:c r="C297" s="2" t="str">
        <x:v>永源</x:v>
      </x:c>
      <x:c r="D297" s="8" t="n">
        <x:v>0</x:v>
      </x:c>
      <x:c r="E297" s="8" t="n">
        <x:v>0</x:v>
      </x:c>
      <x:c r="F297" s="8" t="n">
        <x:f>E297-D297</x:f>
        <x:v>0</x:v>
      </x:c>
      <x:c r="G297" s="9" t="str">
        <x:f>IF(D297=0,"n.a.",F297/D297)</x:f>
        <x:v>n.a.</x:v>
      </x:c>
      <x:c r="H297" s="9" t="n">
        <x:f>D297/SUMIFS($D$6:$D$449,$A$6:$A$449,A297,$B$6:$B$449,B297)</x:f>
        <x:v>0</x:v>
      </x:c>
      <x:c r="I297" s="9" t="n">
        <x:f>E297/SUMIFS($E$6:$E$449,$A$6:$A$449,A297,$B$6:$B$449,B297)</x:f>
        <x:v>0</x:v>
      </x:c>
      <x:c r="J297" s="10" t="n">
        <x:f>(I297-H297)*100</x:f>
        <x:v>0</x:v>
      </x:c>
      <x:c r="K297" s="2"/>
      <x:c r="L297" s="2"/>
      <x:c r="M297" s="2" t="str">
        <x:f>IF(OR(K297="",L297=""),"n.a.",K297-L297)</x:f>
        <x:v>n.a.</x:v>
      </x:c>
    </x:row>
    <x:row r="298" ht="22" customHeight="1">
      <x:c r="A298" s="2" t="str">
        <x:v>全样本</x:v>
      </x:c>
      <x:c r="B298" s="2" t="str">
        <x:v>H12026</x:v>
      </x:c>
      <x:c r="C298" s="2" t="str">
        <x:v>英菲尼迪</x:v>
      </x:c>
      <x:c r="D298" s="8" t="n">
        <x:v>0</x:v>
      </x:c>
      <x:c r="E298" s="8" t="n">
        <x:v>0</x:v>
      </x:c>
      <x:c r="F298" s="8" t="n">
        <x:f>E298-D298</x:f>
        <x:v>0</x:v>
      </x:c>
      <x:c r="G298" s="9" t="str">
        <x:f>IF(D298=0,"n.a.",F298/D298)</x:f>
        <x:v>n.a.</x:v>
      </x:c>
      <x:c r="H298" s="9" t="n">
        <x:f>D298/SUMIFS($D$6:$D$449,$A$6:$A$449,A298,$B$6:$B$449,B298)</x:f>
        <x:v>0</x:v>
      </x:c>
      <x:c r="I298" s="9" t="n">
        <x:f>E298/SUMIFS($E$6:$E$449,$A$6:$A$449,A298,$B$6:$B$449,B298)</x:f>
        <x:v>0</x:v>
      </x:c>
      <x:c r="J298" s="10" t="n">
        <x:f>(I298-H298)*100</x:f>
        <x:v>0</x:v>
      </x:c>
      <x:c r="K298" s="2"/>
      <x:c r="L298" s="2"/>
      <x:c r="M298" s="2" t="str">
        <x:f>IF(OR(K298="",L298=""),"n.a.",K298-L298)</x:f>
        <x:v>n.a.</x:v>
      </x:c>
    </x:row>
    <x:row r="299" ht="22" customHeight="1">
      <x:c r="A299" s="2" t="str">
        <x:v>全样本</x:v>
      </x:c>
      <x:c r="B299" s="2" t="str">
        <x:v>H12026</x:v>
      </x:c>
      <x:c r="C299" s="2" t="str">
        <x:v>英致</x:v>
      </x:c>
      <x:c r="D299" s="8" t="n">
        <x:v>0</x:v>
      </x:c>
      <x:c r="E299" s="8" t="n">
        <x:v>0</x:v>
      </x:c>
      <x:c r="F299" s="8" t="n">
        <x:f>E299-D299</x:f>
        <x:v>0</x:v>
      </x:c>
      <x:c r="G299" s="9" t="str">
        <x:f>IF(D299=0,"n.a.",F299/D299)</x:f>
        <x:v>n.a.</x:v>
      </x:c>
      <x:c r="H299" s="9" t="n">
        <x:f>D299/SUMIFS($D$6:$D$449,$A$6:$A$449,A299,$B$6:$B$449,B299)</x:f>
        <x:v>0</x:v>
      </x:c>
      <x:c r="I299" s="9" t="n">
        <x:f>E299/SUMIFS($E$6:$E$449,$A$6:$A$449,A299,$B$6:$B$449,B299)</x:f>
        <x:v>0</x:v>
      </x:c>
      <x:c r="J299" s="10" t="n">
        <x:f>(I299-H299)*100</x:f>
        <x:v>0</x:v>
      </x:c>
      <x:c r="K299" s="2"/>
      <x:c r="L299" s="2"/>
      <x:c r="M299" s="2" t="str">
        <x:f>IF(OR(K299="",L299=""),"n.a.",K299-L299)</x:f>
        <x:v>n.a.</x:v>
      </x:c>
    </x:row>
    <x:row r="300" ht="22" customHeight="1">
      <x:c r="A300" s="2" t="str">
        <x:v>全样本</x:v>
      </x:c>
      <x:c r="B300" s="2" t="str">
        <x:v>H12026</x:v>
      </x:c>
      <x:c r="C300" s="2" t="str">
        <x:v>纳智捷</x:v>
      </x:c>
      <x:c r="D300" s="8" t="n">
        <x:v>0</x:v>
      </x:c>
      <x:c r="E300" s="8" t="n">
        <x:v>0</x:v>
      </x:c>
      <x:c r="F300" s="8" t="n">
        <x:f>E300-D300</x:f>
        <x:v>0</x:v>
      </x:c>
      <x:c r="G300" s="9" t="str">
        <x:f>IF(D300=0,"n.a.",F300/D300)</x:f>
        <x:v>n.a.</x:v>
      </x:c>
      <x:c r="H300" s="9" t="n">
        <x:f>D300/SUMIFS($D$6:$D$449,$A$6:$A$449,A300,$B$6:$B$449,B300)</x:f>
        <x:v>0</x:v>
      </x:c>
      <x:c r="I300" s="9" t="n">
        <x:f>E300/SUMIFS($E$6:$E$449,$A$6:$A$449,A300,$B$6:$B$449,B300)</x:f>
        <x:v>0</x:v>
      </x:c>
      <x:c r="J300" s="10" t="n">
        <x:f>(I300-H300)*100</x:f>
        <x:v>0</x:v>
      </x:c>
      <x:c r="K300" s="2"/>
      <x:c r="L300" s="2"/>
      <x:c r="M300" s="2" t="str">
        <x:f>IF(OR(K300="",L300=""),"n.a.",K300-L300)</x:f>
        <x:v>n.a.</x:v>
      </x:c>
    </x:row>
    <x:row r="301" ht="22" customHeight="1">
      <x:c r="A301" s="2" t="str">
        <x:v>全样本</x:v>
      </x:c>
      <x:c r="B301" s="2" t="str">
        <x:v>H12026</x:v>
      </x:c>
      <x:c r="C301" s="2" t="str">
        <x:v>福田</x:v>
      </x:c>
      <x:c r="D301" s="8" t="n">
        <x:v>0</x:v>
      </x:c>
      <x:c r="E301" s="8" t="n">
        <x:v>0</x:v>
      </x:c>
      <x:c r="F301" s="8" t="n">
        <x:f>E301-D301</x:f>
        <x:v>0</x:v>
      </x:c>
      <x:c r="G301" s="9" t="str">
        <x:f>IF(D301=0,"n.a.",F301/D301)</x:f>
        <x:v>n.a.</x:v>
      </x:c>
      <x:c r="H301" s="9" t="n">
        <x:f>D301/SUMIFS($D$6:$D$449,$A$6:$A$449,A301,$B$6:$B$449,B301)</x:f>
        <x:v>0</x:v>
      </x:c>
      <x:c r="I301" s="9" t="n">
        <x:f>E301/SUMIFS($E$6:$E$449,$A$6:$A$449,A301,$B$6:$B$449,B301)</x:f>
        <x:v>0</x:v>
      </x:c>
      <x:c r="J301" s="10" t="n">
        <x:f>(I301-H301)*100</x:f>
        <x:v>0</x:v>
      </x:c>
      <x:c r="K301" s="2"/>
      <x:c r="L301" s="2"/>
      <x:c r="M301" s="2" t="str">
        <x:f>IF(OR(K301="",L301=""),"n.a.",K301-L301)</x:f>
        <x:v>n.a.</x:v>
      </x:c>
    </x:row>
    <x:row r="302" ht="22" customHeight="1">
      <x:c r="A302" s="2" t="str">
        <x:v>全样本</x:v>
      </x:c>
      <x:c r="B302" s="2" t="str">
        <x:v>H12026</x:v>
      </x:c>
      <x:c r="C302" s="2" t="str">
        <x:v>知豆</x:v>
      </x:c>
      <x:c r="D302" s="8" t="n">
        <x:v>0</x:v>
      </x:c>
      <x:c r="E302" s="8" t="n">
        <x:v>0</x:v>
      </x:c>
      <x:c r="F302" s="8" t="n">
        <x:f>E302-D302</x:f>
        <x:v>0</x:v>
      </x:c>
      <x:c r="G302" s="9" t="str">
        <x:f>IF(D302=0,"n.a.",F302/D302)</x:f>
        <x:v>n.a.</x:v>
      </x:c>
      <x:c r="H302" s="9" t="n">
        <x:f>D302/SUMIFS($D$6:$D$449,$A$6:$A$449,A302,$B$6:$B$449,B302)</x:f>
        <x:v>0</x:v>
      </x:c>
      <x:c r="I302" s="9" t="n">
        <x:f>E302/SUMIFS($E$6:$E$449,$A$6:$A$449,A302,$B$6:$B$449,B302)</x:f>
        <x:v>0</x:v>
      </x:c>
      <x:c r="J302" s="10" t="n">
        <x:f>(I302-H302)*100</x:f>
        <x:v>0</x:v>
      </x:c>
      <x:c r="K302" s="2"/>
      <x:c r="L302" s="2"/>
      <x:c r="M302" s="2" t="str">
        <x:f>IF(OR(K302="",L302=""),"n.a.",K302-L302)</x:f>
        <x:v>n.a.</x:v>
      </x:c>
    </x:row>
    <x:row r="303" ht="22" customHeight="1">
      <x:c r="A303" s="2" t="str">
        <x:v>全样本</x:v>
      </x:c>
      <x:c r="B303" s="2" t="str">
        <x:v>H12026</x:v>
      </x:c>
      <x:c r="C303" s="2" t="str">
        <x:v>瑞驰新能源</x:v>
      </x:c>
      <x:c r="D303" s="8" t="n">
        <x:v>0</x:v>
      </x:c>
      <x:c r="E303" s="8" t="n">
        <x:v>0</x:v>
      </x:c>
      <x:c r="F303" s="8" t="n">
        <x:f>E303-D303</x:f>
        <x:v>0</x:v>
      </x:c>
      <x:c r="G303" s="9" t="str">
        <x:f>IF(D303=0,"n.a.",F303/D303)</x:f>
        <x:v>n.a.</x:v>
      </x:c>
      <x:c r="H303" s="9" t="n">
        <x:f>D303/SUMIFS($D$6:$D$449,$A$6:$A$449,A303,$B$6:$B$449,B303)</x:f>
        <x:v>0</x:v>
      </x:c>
      <x:c r="I303" s="9" t="n">
        <x:f>E303/SUMIFS($E$6:$E$449,$A$6:$A$449,A303,$B$6:$B$449,B303)</x:f>
        <x:v>0</x:v>
      </x:c>
      <x:c r="J303" s="10" t="n">
        <x:f>(I303-H303)*100</x:f>
        <x:v>0</x:v>
      </x:c>
      <x:c r="K303" s="2"/>
      <x:c r="L303" s="2"/>
      <x:c r="M303" s="2" t="str">
        <x:f>IF(OR(K303="",L303=""),"n.a.",K303-L303)</x:f>
        <x:v>n.a.</x:v>
      </x:c>
    </x:row>
    <x:row r="304" ht="22" customHeight="1">
      <x:c r="A304" s="2" t="str">
        <x:v>全样本</x:v>
      </x:c>
      <x:c r="B304" s="2" t="str">
        <x:v>H12026</x:v>
      </x:c>
      <x:c r="C304" s="2" t="str">
        <x:v>瑞麒</x:v>
      </x:c>
      <x:c r="D304" s="8" t="n">
        <x:v>0</x:v>
      </x:c>
      <x:c r="E304" s="8" t="n">
        <x:v>0</x:v>
      </x:c>
      <x:c r="F304" s="8" t="n">
        <x:f>E304-D304</x:f>
        <x:v>0</x:v>
      </x:c>
      <x:c r="G304" s="9" t="str">
        <x:f>IF(D304=0,"n.a.",F304/D304)</x:f>
        <x:v>n.a.</x:v>
      </x:c>
      <x:c r="H304" s="9" t="n">
        <x:f>D304/SUMIFS($D$6:$D$449,$A$6:$A$449,A304,$B$6:$B$449,B304)</x:f>
        <x:v>0</x:v>
      </x:c>
      <x:c r="I304" s="9" t="n">
        <x:f>E304/SUMIFS($E$6:$E$449,$A$6:$A$449,A304,$B$6:$B$449,B304)</x:f>
        <x:v>0</x:v>
      </x:c>
      <x:c r="J304" s="10" t="n">
        <x:f>(I304-H304)*100</x:f>
        <x:v>0</x:v>
      </x:c>
      <x:c r="K304" s="2"/>
      <x:c r="L304" s="2"/>
      <x:c r="M304" s="2" t="str">
        <x:f>IF(OR(K304="",L304=""),"n.a.",K304-L304)</x:f>
        <x:v>n.a.</x:v>
      </x:c>
    </x:row>
    <x:row r="305" ht="22" customHeight="1">
      <x:c r="A305" s="2" t="str">
        <x:v>全样本</x:v>
      </x:c>
      <x:c r="B305" s="2" t="str">
        <x:v>H12026</x:v>
      </x:c>
      <x:c r="C305" s="2" t="str">
        <x:v>电咖</x:v>
      </x:c>
      <x:c r="D305" s="8" t="n">
        <x:v>0</x:v>
      </x:c>
      <x:c r="E305" s="8" t="n">
        <x:v>0</x:v>
      </x:c>
      <x:c r="F305" s="8" t="n">
        <x:f>E305-D305</x:f>
        <x:v>0</x:v>
      </x:c>
      <x:c r="G305" s="9" t="str">
        <x:f>IF(D305=0,"n.a.",F305/D305)</x:f>
        <x:v>n.a.</x:v>
      </x:c>
      <x:c r="H305" s="9" t="n">
        <x:f>D305/SUMIFS($D$6:$D$449,$A$6:$A$449,A305,$B$6:$B$449,B305)</x:f>
        <x:v>0</x:v>
      </x:c>
      <x:c r="I305" s="9" t="n">
        <x:f>E305/SUMIFS($E$6:$E$449,$A$6:$A$449,A305,$B$6:$B$449,B305)</x:f>
        <x:v>0</x:v>
      </x:c>
      <x:c r="J305" s="10" t="n">
        <x:f>(I305-H305)*100</x:f>
        <x:v>0</x:v>
      </x:c>
      <x:c r="K305" s="2"/>
      <x:c r="L305" s="2"/>
      <x:c r="M305" s="2" t="str">
        <x:f>IF(OR(K305="",L305=""),"n.a.",K305-L305)</x:f>
        <x:v>n.a.</x:v>
      </x:c>
    </x:row>
    <x:row r="306" ht="22" customHeight="1">
      <x:c r="A306" s="2" t="str">
        <x:v>全样本</x:v>
      </x:c>
      <x:c r="B306" s="2" t="str">
        <x:v>H12026</x:v>
      </x:c>
      <x:c r="C306" s="2" t="str">
        <x:v>猛士</x:v>
      </x:c>
      <x:c r="D306" s="8" t="n">
        <x:v>0</x:v>
      </x:c>
      <x:c r="E306" s="8" t="n">
        <x:v>0</x:v>
      </x:c>
      <x:c r="F306" s="8" t="n">
        <x:f>E306-D306</x:f>
        <x:v>0</x:v>
      </x:c>
      <x:c r="G306" s="9" t="str">
        <x:f>IF(D306=0,"n.a.",F306/D306)</x:f>
        <x:v>n.a.</x:v>
      </x:c>
      <x:c r="H306" s="9" t="n">
        <x:f>D306/SUMIFS($D$6:$D$449,$A$6:$A$449,A306,$B$6:$B$449,B306)</x:f>
        <x:v>0</x:v>
      </x:c>
      <x:c r="I306" s="9" t="n">
        <x:f>E306/SUMIFS($E$6:$E$449,$A$6:$A$449,A306,$B$6:$B$449,B306)</x:f>
        <x:v>0</x:v>
      </x:c>
      <x:c r="J306" s="10" t="n">
        <x:f>(I306-H306)*100</x:f>
        <x:v>0</x:v>
      </x:c>
      <x:c r="K306" s="2"/>
      <x:c r="L306" s="2"/>
      <x:c r="M306" s="2" t="str">
        <x:f>IF(OR(K306="",L306=""),"n.a.",K306-L306)</x:f>
        <x:v>n.a.</x:v>
      </x:c>
    </x:row>
    <x:row r="307" ht="22" customHeight="1">
      <x:c r="A307" s="2" t="str">
        <x:v>全样本</x:v>
      </x:c>
      <x:c r="B307" s="2" t="str">
        <x:v>H12026</x:v>
      </x:c>
      <x:c r="C307" s="2" t="str">
        <x:v>理念</x:v>
      </x:c>
      <x:c r="D307" s="8" t="n">
        <x:v>0</x:v>
      </x:c>
      <x:c r="E307" s="8" t="n">
        <x:v>0</x:v>
      </x:c>
      <x:c r="F307" s="8" t="n">
        <x:f>E307-D307</x:f>
        <x:v>0</x:v>
      </x:c>
      <x:c r="G307" s="9" t="str">
        <x:f>IF(D307=0,"n.a.",F307/D307)</x:f>
        <x:v>n.a.</x:v>
      </x:c>
      <x:c r="H307" s="9" t="n">
        <x:f>D307/SUMIFS($D$6:$D$449,$A$6:$A$449,A307,$B$6:$B$449,B307)</x:f>
        <x:v>0</x:v>
      </x:c>
      <x:c r="I307" s="9" t="n">
        <x:f>E307/SUMIFS($E$6:$E$449,$A$6:$A$449,A307,$B$6:$B$449,B307)</x:f>
        <x:v>0</x:v>
      </x:c>
      <x:c r="J307" s="10" t="n">
        <x:f>(I307-H307)*100</x:f>
        <x:v>0</x:v>
      </x:c>
      <x:c r="K307" s="2"/>
      <x:c r="L307" s="2"/>
      <x:c r="M307" s="2" t="str">
        <x:f>IF(OR(K307="",L307=""),"n.a.",K307-L307)</x:f>
        <x:v>n.a.</x:v>
      </x:c>
    </x:row>
    <x:row r="308" ht="22" customHeight="1">
      <x:c r="A308" s="2" t="str">
        <x:v>全样本</x:v>
      </x:c>
      <x:c r="B308" s="2" t="str">
        <x:v>H12026</x:v>
      </x:c>
      <x:c r="C308" s="2" t="str">
        <x:v>汉腾</x:v>
      </x:c>
      <x:c r="D308" s="8" t="n">
        <x:v>0</x:v>
      </x:c>
      <x:c r="E308" s="8" t="n">
        <x:v>0</x:v>
      </x:c>
      <x:c r="F308" s="8" t="n">
        <x:f>E308-D308</x:f>
        <x:v>0</x:v>
      </x:c>
      <x:c r="G308" s="9" t="str">
        <x:f>IF(D308=0,"n.a.",F308/D308)</x:f>
        <x:v>n.a.</x:v>
      </x:c>
      <x:c r="H308" s="9" t="n">
        <x:f>D308/SUMIFS($D$6:$D$449,$A$6:$A$449,A308,$B$6:$B$449,B308)</x:f>
        <x:v>0</x:v>
      </x:c>
      <x:c r="I308" s="9" t="n">
        <x:f>E308/SUMIFS($E$6:$E$449,$A$6:$A$449,A308,$B$6:$B$449,B308)</x:f>
        <x:v>0</x:v>
      </x:c>
      <x:c r="J308" s="10" t="n">
        <x:f>(I308-H308)*100</x:f>
        <x:v>0</x:v>
      </x:c>
      <x:c r="K308" s="2"/>
      <x:c r="L308" s="2"/>
      <x:c r="M308" s="2" t="str">
        <x:f>IF(OR(K308="",L308=""),"n.a.",K308-L308)</x:f>
        <x:v>n.a.</x:v>
      </x:c>
    </x:row>
    <x:row r="309" ht="22" customHeight="1">
      <x:c r="A309" s="2" t="str">
        <x:v>全样本</x:v>
      </x:c>
      <x:c r="B309" s="2" t="str">
        <x:v>H12026</x:v>
      </x:c>
      <x:c r="C309" s="2" t="str">
        <x:v>比速汽车</x:v>
      </x:c>
      <x:c r="D309" s="8" t="n">
        <x:v>0</x:v>
      </x:c>
      <x:c r="E309" s="8" t="n">
        <x:v>0</x:v>
      </x:c>
      <x:c r="F309" s="8" t="n">
        <x:f>E309-D309</x:f>
        <x:v>0</x:v>
      </x:c>
      <x:c r="G309" s="9" t="str">
        <x:f>IF(D309=0,"n.a.",F309/D309)</x:f>
        <x:v>n.a.</x:v>
      </x:c>
      <x:c r="H309" s="9" t="n">
        <x:f>D309/SUMIFS($D$6:$D$449,$A$6:$A$449,A309,$B$6:$B$449,B309)</x:f>
        <x:v>0</x:v>
      </x:c>
      <x:c r="I309" s="9" t="n">
        <x:f>E309/SUMIFS($E$6:$E$449,$A$6:$A$449,A309,$B$6:$B$449,B309)</x:f>
        <x:v>0</x:v>
      </x:c>
      <x:c r="J309" s="10" t="n">
        <x:f>(I309-H309)*100</x:f>
        <x:v>0</x:v>
      </x:c>
      <x:c r="K309" s="2"/>
      <x:c r="L309" s="2"/>
      <x:c r="M309" s="2" t="str">
        <x:f>IF(OR(K309="",L309=""),"n.a.",K309-L309)</x:f>
        <x:v>n.a.</x:v>
      </x:c>
    </x:row>
    <x:row r="310" ht="22" customHeight="1">
      <x:c r="A310" s="2" t="str">
        <x:v>全样本</x:v>
      </x:c>
      <x:c r="B310" s="2" t="str">
        <x:v>H12026</x:v>
      </x:c>
      <x:c r="C310" s="2" t="str">
        <x:v>海马郑州</x:v>
      </x:c>
      <x:c r="D310" s="8" t="n">
        <x:v>0</x:v>
      </x:c>
      <x:c r="E310" s="8" t="n">
        <x:v>0</x:v>
      </x:c>
      <x:c r="F310" s="8" t="n">
        <x:f>E310-D310</x:f>
        <x:v>0</x:v>
      </x:c>
      <x:c r="G310" s="9" t="str">
        <x:f>IF(D310=0,"n.a.",F310/D310)</x:f>
        <x:v>n.a.</x:v>
      </x:c>
      <x:c r="H310" s="9" t="n">
        <x:f>D310/SUMIFS($D$6:$D$449,$A$6:$A$449,A310,$B$6:$B$449,B310)</x:f>
        <x:v>0</x:v>
      </x:c>
      <x:c r="I310" s="9" t="n">
        <x:f>E310/SUMIFS($E$6:$E$449,$A$6:$A$449,A310,$B$6:$B$449,B310)</x:f>
        <x:v>0</x:v>
      </x:c>
      <x:c r="J310" s="10" t="n">
        <x:f>(I310-H310)*100</x:f>
        <x:v>0</x:v>
      </x:c>
      <x:c r="K310" s="2"/>
      <x:c r="L310" s="2"/>
      <x:c r="M310" s="2" t="str">
        <x:f>IF(OR(K310="",L310=""),"n.a.",K310-L310)</x:f>
        <x:v>n.a.</x:v>
      </x:c>
    </x:row>
    <x:row r="311" ht="22" customHeight="1">
      <x:c r="A311" s="2" t="str">
        <x:v>全样本</x:v>
      </x:c>
      <x:c r="B311" s="2" t="str">
        <x:v>H12026</x:v>
      </x:c>
      <x:c r="C311" s="2" t="str">
        <x:v>海马新能源</x:v>
      </x:c>
      <x:c r="D311" s="8" t="n">
        <x:v>0</x:v>
      </x:c>
      <x:c r="E311" s="8" t="n">
        <x:v>0</x:v>
      </x:c>
      <x:c r="F311" s="8" t="n">
        <x:f>E311-D311</x:f>
        <x:v>0</x:v>
      </x:c>
      <x:c r="G311" s="9" t="str">
        <x:f>IF(D311=0,"n.a.",F311/D311)</x:f>
        <x:v>n.a.</x:v>
      </x:c>
      <x:c r="H311" s="9" t="n">
        <x:f>D311/SUMIFS($D$6:$D$449,$A$6:$A$449,A311,$B$6:$B$449,B311)</x:f>
        <x:v>0</x:v>
      </x:c>
      <x:c r="I311" s="9" t="n">
        <x:f>E311/SUMIFS($E$6:$E$449,$A$6:$A$449,A311,$B$6:$B$449,B311)</x:f>
        <x:v>0</x:v>
      </x:c>
      <x:c r="J311" s="10" t="n">
        <x:f>(I311-H311)*100</x:f>
        <x:v>0</x:v>
      </x:c>
      <x:c r="K311" s="2"/>
      <x:c r="L311" s="2"/>
      <x:c r="M311" s="2" t="str">
        <x:f>IF(OR(K311="",L311=""),"n.a.",K311-L311)</x:f>
        <x:v>n.a.</x:v>
      </x:c>
    </x:row>
    <x:row r="312" ht="22" customHeight="1">
      <x:c r="A312" s="2" t="str">
        <x:v>全样本</x:v>
      </x:c>
      <x:c r="B312" s="2" t="str">
        <x:v>H12026</x:v>
      </x:c>
      <x:c r="C312" s="2" t="str">
        <x:v>海马</x:v>
      </x:c>
      <x:c r="D312" s="8" t="n">
        <x:v>0</x:v>
      </x:c>
      <x:c r="E312" s="8" t="n">
        <x:v>0</x:v>
      </x:c>
      <x:c r="F312" s="8" t="n">
        <x:f>E312-D312</x:f>
        <x:v>0</x:v>
      </x:c>
      <x:c r="G312" s="9" t="str">
        <x:f>IF(D312=0,"n.a.",F312/D312)</x:f>
        <x:v>n.a.</x:v>
      </x:c>
      <x:c r="H312" s="9" t="n">
        <x:f>D312/SUMIFS($D$6:$D$449,$A$6:$A$449,A312,$B$6:$B$449,B312)</x:f>
        <x:v>0</x:v>
      </x:c>
      <x:c r="I312" s="9" t="n">
        <x:f>E312/SUMIFS($E$6:$E$449,$A$6:$A$449,A312,$B$6:$B$449,B312)</x:f>
        <x:v>0</x:v>
      </x:c>
      <x:c r="J312" s="10" t="n">
        <x:f>(I312-H312)*100</x:f>
        <x:v>0</x:v>
      </x:c>
      <x:c r="K312" s="2"/>
      <x:c r="L312" s="2"/>
      <x:c r="M312" s="2" t="str">
        <x:f>IF(OR(K312="",L312=""),"n.a.",K312-L312)</x:f>
        <x:v>n.a.</x:v>
      </x:c>
    </x:row>
    <x:row r="313" ht="22" customHeight="1">
      <x:c r="A313" s="2" t="str">
        <x:v>全样本</x:v>
      </x:c>
      <x:c r="B313" s="2" t="str">
        <x:v>H12026</x:v>
      </x:c>
      <x:c r="C313" s="2" t="str">
        <x:v>猎豹汽车</x:v>
      </x:c>
      <x:c r="D313" s="8" t="n">
        <x:v>0</x:v>
      </x:c>
      <x:c r="E313" s="8" t="n">
        <x:v>0</x:v>
      </x:c>
      <x:c r="F313" s="8" t="n">
        <x:f>E313-D313</x:f>
        <x:v>0</x:v>
      </x:c>
      <x:c r="G313" s="9" t="str">
        <x:f>IF(D313=0,"n.a.",F313/D313)</x:f>
        <x:v>n.a.</x:v>
      </x:c>
      <x:c r="H313" s="9" t="n">
        <x:f>D313/SUMIFS($D$6:$D$449,$A$6:$A$449,A313,$B$6:$B$449,B313)</x:f>
        <x:v>0</x:v>
      </x:c>
      <x:c r="I313" s="9" t="n">
        <x:f>E313/SUMIFS($E$6:$E$449,$A$6:$A$449,A313,$B$6:$B$449,B313)</x:f>
        <x:v>0</x:v>
      </x:c>
      <x:c r="J313" s="10" t="n">
        <x:f>(I313-H313)*100</x:f>
        <x:v>0</x:v>
      </x:c>
      <x:c r="K313" s="2"/>
      <x:c r="L313" s="2"/>
      <x:c r="M313" s="2" t="str">
        <x:f>IF(OR(K313="",L313=""),"n.a.",K313-L313)</x:f>
        <x:v>n.a.</x:v>
      </x:c>
    </x:row>
    <x:row r="314" ht="22" customHeight="1">
      <x:c r="A314" s="2" t="str">
        <x:v>全样本</x:v>
      </x:c>
      <x:c r="B314" s="2" t="str">
        <x:v>H12026</x:v>
      </x:c>
      <x:c r="C314" s="2" t="str">
        <x:v>长城</x:v>
      </x:c>
      <x:c r="D314" s="8" t="n">
        <x:v>0</x:v>
      </x:c>
      <x:c r="E314" s="8" t="n">
        <x:v>0</x:v>
      </x:c>
      <x:c r="F314" s="8" t="n">
        <x:f>E314-D314</x:f>
        <x:v>0</x:v>
      </x:c>
      <x:c r="G314" s="9" t="str">
        <x:f>IF(D314=0,"n.a.",F314/D314)</x:f>
        <x:v>n.a.</x:v>
      </x:c>
      <x:c r="H314" s="9" t="n">
        <x:f>D314/SUMIFS($D$6:$D$449,$A$6:$A$449,A314,$B$6:$B$449,B314)</x:f>
        <x:v>0</x:v>
      </x:c>
      <x:c r="I314" s="9" t="n">
        <x:f>E314/SUMIFS($E$6:$E$449,$A$6:$A$449,A314,$B$6:$B$449,B314)</x:f>
        <x:v>0</x:v>
      </x:c>
      <x:c r="J314" s="10" t="n">
        <x:f>(I314-H314)*100</x:f>
        <x:v>0</x:v>
      </x:c>
      <x:c r="K314" s="2"/>
      <x:c r="L314" s="2"/>
      <x:c r="M314" s="2" t="str">
        <x:f>IF(OR(K314="",L314=""),"n.a.",K314-L314)</x:f>
        <x:v>n.a.</x:v>
      </x:c>
    </x:row>
    <x:row r="315" ht="22" customHeight="1">
      <x:c r="A315" s="2" t="str">
        <x:v>全样本</x:v>
      </x:c>
      <x:c r="B315" s="2" t="str">
        <x:v>H12026</x:v>
      </x:c>
      <x:c r="C315" s="2" t="str">
        <x:v>野马汽车</x:v>
      </x:c>
      <x:c r="D315" s="8" t="n">
        <x:v>0</x:v>
      </x:c>
      <x:c r="E315" s="8" t="n">
        <x:v>0</x:v>
      </x:c>
      <x:c r="F315" s="8" t="n">
        <x:f>E315-D315</x:f>
        <x:v>0</x:v>
      </x:c>
      <x:c r="G315" s="9" t="str">
        <x:f>IF(D315=0,"n.a.",F315/D315)</x:f>
        <x:v>n.a.</x:v>
      </x:c>
      <x:c r="H315" s="9" t="n">
        <x:f>D315/SUMIFS($D$6:$D$449,$A$6:$A$449,A315,$B$6:$B$449,B315)</x:f>
        <x:v>0</x:v>
      </x:c>
      <x:c r="I315" s="9" t="n">
        <x:f>E315/SUMIFS($E$6:$E$449,$A$6:$A$449,A315,$B$6:$B$449,B315)</x:f>
        <x:v>0</x:v>
      </x:c>
      <x:c r="J315" s="10" t="n">
        <x:f>(I315-H315)*100</x:f>
        <x:v>0</x:v>
      </x:c>
      <x:c r="K315" s="2"/>
      <x:c r="L315" s="2"/>
      <x:c r="M315" s="2" t="str">
        <x:f>IF(OR(K315="",L315=""),"n.a.",K315-L315)</x:f>
        <x:v>n.a.</x:v>
      </x:c>
    </x:row>
    <x:row r="316" ht="22" customHeight="1">
      <x:c r="A316" s="2" t="str">
        <x:v>全样本</x:v>
      </x:c>
      <x:c r="B316" s="2" t="str">
        <x:v>H12026</x:v>
      </x:c>
      <x:c r="C316" s="2" t="str">
        <x:v>金杯</x:v>
      </x:c>
      <x:c r="D316" s="8" t="n">
        <x:v>0</x:v>
      </x:c>
      <x:c r="E316" s="8" t="n">
        <x:v>0</x:v>
      </x:c>
      <x:c r="F316" s="8" t="n">
        <x:f>E316-D316</x:f>
        <x:v>0</x:v>
      </x:c>
      <x:c r="G316" s="9" t="str">
        <x:f>IF(D316=0,"n.a.",F316/D316)</x:f>
        <x:v>n.a.</x:v>
      </x:c>
      <x:c r="H316" s="9" t="n">
        <x:f>D316/SUMIFS($D$6:$D$449,$A$6:$A$449,A316,$B$6:$B$449,B316)</x:f>
        <x:v>0</x:v>
      </x:c>
      <x:c r="I316" s="9" t="n">
        <x:f>E316/SUMIFS($E$6:$E$449,$A$6:$A$449,A316,$B$6:$B$449,B316)</x:f>
        <x:v>0</x:v>
      </x:c>
      <x:c r="J316" s="10" t="n">
        <x:f>(I316-H316)*100</x:f>
        <x:v>0</x:v>
      </x:c>
      <x:c r="K316" s="2"/>
      <x:c r="L316" s="2"/>
      <x:c r="M316" s="2" t="str">
        <x:f>IF(OR(K316="",L316=""),"n.a.",K316-L316)</x:f>
        <x:v>n.a.</x:v>
      </x:c>
    </x:row>
    <x:row r="317" ht="22" customHeight="1">
      <x:c r="A317" s="2" t="str">
        <x:v>全样本</x:v>
      </x:c>
      <x:c r="B317" s="2" t="str">
        <x:v>H12026</x:v>
      </x:c>
      <x:c r="C317" s="2" t="str">
        <x:v>铃木</x:v>
      </x:c>
      <x:c r="D317" s="8" t="n">
        <x:v>0</x:v>
      </x:c>
      <x:c r="E317" s="8" t="n">
        <x:v>0</x:v>
      </x:c>
      <x:c r="F317" s="8" t="n">
        <x:f>E317-D317</x:f>
        <x:v>0</x:v>
      </x:c>
      <x:c r="G317" s="9" t="str">
        <x:f>IF(D317=0,"n.a.",F317/D317)</x:f>
        <x:v>n.a.</x:v>
      </x:c>
      <x:c r="H317" s="9" t="n">
        <x:f>D317/SUMIFS($D$6:$D$449,$A$6:$A$449,A317,$B$6:$B$449,B317)</x:f>
        <x:v>0</x:v>
      </x:c>
      <x:c r="I317" s="9" t="n">
        <x:f>E317/SUMIFS($E$6:$E$449,$A$6:$A$449,A317,$B$6:$B$449,B317)</x:f>
        <x:v>0</x:v>
      </x:c>
      <x:c r="J317" s="10" t="n">
        <x:f>(I317-H317)*100</x:f>
        <x:v>0</x:v>
      </x:c>
      <x:c r="K317" s="2"/>
      <x:c r="L317" s="2"/>
      <x:c r="M317" s="2" t="str">
        <x:f>IF(OR(K317="",L317=""),"n.a.",K317-L317)</x:f>
        <x:v>n.a.</x:v>
      </x:c>
    </x:row>
    <x:row r="318" ht="22" customHeight="1">
      <x:c r="A318" s="2" t="str">
        <x:v>全样本</x:v>
      </x:c>
      <x:c r="B318" s="2" t="str">
        <x:v>H12026</x:v>
      </x:c>
      <x:c r="C318" s="2" t="str">
        <x:v>路虎</x:v>
      </x:c>
      <x:c r="D318" s="8" t="n">
        <x:v>0</x:v>
      </x:c>
      <x:c r="E318" s="8" t="n">
        <x:v>0</x:v>
      </x:c>
      <x:c r="F318" s="8" t="n">
        <x:f>E318-D318</x:f>
        <x:v>0</x:v>
      </x:c>
      <x:c r="G318" s="9" t="str">
        <x:f>IF(D318=0,"n.a.",F318/D318)</x:f>
        <x:v>n.a.</x:v>
      </x:c>
      <x:c r="H318" s="9" t="n">
        <x:f>D318/SUMIFS($D$6:$D$449,$A$6:$A$449,A318,$B$6:$B$449,B318)</x:f>
        <x:v>0</x:v>
      </x:c>
      <x:c r="I318" s="9" t="n">
        <x:f>E318/SUMIFS($E$6:$E$449,$A$6:$A$449,A318,$B$6:$B$449,B318)</x:f>
        <x:v>0</x:v>
      </x:c>
      <x:c r="J318" s="10" t="n">
        <x:f>(I318-H318)*100</x:f>
        <x:v>0</x:v>
      </x:c>
      <x:c r="K318" s="2"/>
      <x:c r="L318" s="2"/>
      <x:c r="M318" s="2" t="str">
        <x:f>IF(OR(K318="",L318=""),"n.a.",K318-L318)</x:f>
        <x:v>n.a.</x:v>
      </x:c>
    </x:row>
    <x:row r="319" ht="22" customHeight="1">
      <x:c r="A319" s="2" t="str">
        <x:v>全样本</x:v>
      </x:c>
      <x:c r="B319" s="2" t="str">
        <x:v>H12026</x:v>
      </x:c>
      <x:c r="C319" s="2" t="str">
        <x:v>裕路</x:v>
      </x:c>
      <x:c r="D319" s="8" t="n">
        <x:v>0</x:v>
      </x:c>
      <x:c r="E319" s="8" t="n">
        <x:v>0</x:v>
      </x:c>
      <x:c r="F319" s="8" t="n">
        <x:f>E319-D319</x:f>
        <x:v>0</x:v>
      </x:c>
      <x:c r="G319" s="9" t="str">
        <x:f>IF(D319=0,"n.a.",F319/D319)</x:f>
        <x:v>n.a.</x:v>
      </x:c>
      <x:c r="H319" s="9" t="n">
        <x:f>D319/SUMIFS($D$6:$D$449,$A$6:$A$449,A319,$B$6:$B$449,B319)</x:f>
        <x:v>0</x:v>
      </x:c>
      <x:c r="I319" s="9" t="n">
        <x:f>E319/SUMIFS($E$6:$E$449,$A$6:$A$449,A319,$B$6:$B$449,B319)</x:f>
        <x:v>0</x:v>
      </x:c>
      <x:c r="J319" s="10" t="n">
        <x:f>(I319-H319)*100</x:f>
        <x:v>0</x:v>
      </x:c>
      <x:c r="K319" s="2"/>
      <x:c r="L319" s="2"/>
      <x:c r="M319" s="2" t="str">
        <x:f>IF(OR(K319="",L319=""),"n.a.",K319-L319)</x:f>
        <x:v>n.a.</x:v>
      </x:c>
    </x:row>
    <x:row r="320" ht="22" customHeight="1">
      <x:c r="A320" s="2" t="str">
        <x:v>全样本</x:v>
      </x:c>
      <x:c r="B320" s="2" t="str">
        <x:v>H12026</x:v>
      </x:c>
      <x:c r="C320" s="2" t="str">
        <x:v>观致</x:v>
      </x:c>
      <x:c r="D320" s="8" t="n">
        <x:v>0</x:v>
      </x:c>
      <x:c r="E320" s="8" t="n">
        <x:v>0</x:v>
      </x:c>
      <x:c r="F320" s="8" t="n">
        <x:f>E320-D320</x:f>
        <x:v>0</x:v>
      </x:c>
      <x:c r="G320" s="9" t="str">
        <x:f>IF(D320=0,"n.a.",F320/D320)</x:f>
        <x:v>n.a.</x:v>
      </x:c>
      <x:c r="H320" s="9" t="n">
        <x:f>D320/SUMIFS($D$6:$D$449,$A$6:$A$449,A320,$B$6:$B$449,B320)</x:f>
        <x:v>0</x:v>
      </x:c>
      <x:c r="I320" s="9" t="n">
        <x:f>E320/SUMIFS($E$6:$E$449,$A$6:$A$449,A320,$B$6:$B$449,B320)</x:f>
        <x:v>0</x:v>
      </x:c>
      <x:c r="J320" s="10" t="n">
        <x:f>(I320-H320)*100</x:f>
        <x:v>0</x:v>
      </x:c>
      <x:c r="K320" s="2"/>
      <x:c r="L320" s="2"/>
      <x:c r="M320" s="2" t="str">
        <x:f>IF(OR(K320="",L320=""),"n.a.",K320-L320)</x:f>
        <x:v>n.a.</x:v>
      </x:c>
    </x:row>
    <x:row r="321" ht="22" customHeight="1">
      <x:c r="A321" s="2" t="str">
        <x:v>全样本</x:v>
      </x:c>
      <x:c r="B321" s="2" t="str">
        <x:v>H12026</x:v>
      </x:c>
      <x:c r="C321" s="2" t="str">
        <x:v>讴歌</x:v>
      </x:c>
      <x:c r="D321" s="8" t="n">
        <x:v>0</x:v>
      </x:c>
      <x:c r="E321" s="8" t="n">
        <x:v>0</x:v>
      </x:c>
      <x:c r="F321" s="8" t="n">
        <x:f>E321-D321</x:f>
        <x:v>0</x:v>
      </x:c>
      <x:c r="G321" s="9" t="str">
        <x:f>IF(D321=0,"n.a.",F321/D321)</x:f>
        <x:v>n.a.</x:v>
      </x:c>
      <x:c r="H321" s="9" t="n">
        <x:f>D321/SUMIFS($D$6:$D$449,$A$6:$A$449,A321,$B$6:$B$449,B321)</x:f>
        <x:v>0</x:v>
      </x:c>
      <x:c r="I321" s="9" t="n">
        <x:f>E321/SUMIFS($E$6:$E$449,$A$6:$A$449,A321,$B$6:$B$449,B321)</x:f>
        <x:v>0</x:v>
      </x:c>
      <x:c r="J321" s="10" t="n">
        <x:f>(I321-H321)*100</x:f>
        <x:v>0</x:v>
      </x:c>
      <x:c r="K321" s="2"/>
      <x:c r="L321" s="2"/>
      <x:c r="M321" s="2" t="str">
        <x:f>IF(OR(K321="",L321=""),"n.a.",K321-L321)</x:f>
        <x:v>n.a.</x:v>
      </x:c>
    </x:row>
    <x:row r="322" ht="22" customHeight="1">
      <x:c r="A322" s="2" t="str">
        <x:v>全样本</x:v>
      </x:c>
      <x:c r="B322" s="2" t="str">
        <x:v>H12026</x:v>
      </x:c>
      <x:c r="C322" s="2" t="str">
        <x:v>莲花汽车</x:v>
      </x:c>
      <x:c r="D322" s="8" t="n">
        <x:v>0</x:v>
      </x:c>
      <x:c r="E322" s="8" t="n">
        <x:v>0</x:v>
      </x:c>
      <x:c r="F322" s="8" t="n">
        <x:f>E322-D322</x:f>
        <x:v>0</x:v>
      </x:c>
      <x:c r="G322" s="9" t="str">
        <x:f>IF(D322=0,"n.a.",F322/D322)</x:f>
        <x:v>n.a.</x:v>
      </x:c>
      <x:c r="H322" s="9" t="n">
        <x:f>D322/SUMIFS($D$6:$D$449,$A$6:$A$449,A322,$B$6:$B$449,B322)</x:f>
        <x:v>0</x:v>
      </x:c>
      <x:c r="I322" s="9" t="n">
        <x:f>E322/SUMIFS($E$6:$E$449,$A$6:$A$449,A322,$B$6:$B$449,B322)</x:f>
        <x:v>0</x:v>
      </x:c>
      <x:c r="J322" s="10" t="n">
        <x:f>(I322-H322)*100</x:f>
        <x:v>0</x:v>
      </x:c>
      <x:c r="K322" s="2"/>
      <x:c r="L322" s="2"/>
      <x:c r="M322" s="2" t="str">
        <x:f>IF(OR(K322="",L322=""),"n.a.",K322-L322)</x:f>
        <x:v>n.a.</x:v>
      </x:c>
    </x:row>
    <x:row r="323" ht="22" customHeight="1">
      <x:c r="A323" s="2" t="str">
        <x:v>全样本</x:v>
      </x:c>
      <x:c r="B323" s="2" t="str">
        <x:v>H12026</x:v>
      </x:c>
      <x:c r="C323" s="2" t="str">
        <x:v>菲亚特</x:v>
      </x:c>
      <x:c r="D323" s="8" t="n">
        <x:v>0</x:v>
      </x:c>
      <x:c r="E323" s="8" t="n">
        <x:v>0</x:v>
      </x:c>
      <x:c r="F323" s="8" t="n">
        <x:f>E323-D323</x:f>
        <x:v>0</x:v>
      </x:c>
      <x:c r="G323" s="9" t="str">
        <x:f>IF(D323=0,"n.a.",F323/D323)</x:f>
        <x:v>n.a.</x:v>
      </x:c>
      <x:c r="H323" s="9" t="n">
        <x:f>D323/SUMIFS($D$6:$D$449,$A$6:$A$449,A323,$B$6:$B$449,B323)</x:f>
        <x:v>0</x:v>
      </x:c>
      <x:c r="I323" s="9" t="n">
        <x:f>E323/SUMIFS($E$6:$E$449,$A$6:$A$449,A323,$B$6:$B$449,B323)</x:f>
        <x:v>0</x:v>
      </x:c>
      <x:c r="J323" s="10" t="n">
        <x:f>(I323-H323)*100</x:f>
        <x:v>0</x:v>
      </x:c>
      <x:c r="K323" s="2"/>
      <x:c r="L323" s="2"/>
      <x:c r="M323" s="2" t="str">
        <x:f>IF(OR(K323="",L323=""),"n.a.",K323-L323)</x:f>
        <x:v>n.a.</x:v>
      </x:c>
    </x:row>
    <x:row r="324" ht="22" customHeight="1">
      <x:c r="A324" s="2" t="str">
        <x:v>全样本</x:v>
      </x:c>
      <x:c r="B324" s="2" t="str">
        <x:v>H12026</x:v>
      </x:c>
      <x:c r="C324" s="2" t="str">
        <x:v>陆地方舟</x:v>
      </x:c>
      <x:c r="D324" s="8" t="n">
        <x:v>0</x:v>
      </x:c>
      <x:c r="E324" s="8" t="n">
        <x:v>0</x:v>
      </x:c>
      <x:c r="F324" s="8" t="n">
        <x:f>E324-D324</x:f>
        <x:v>0</x:v>
      </x:c>
      <x:c r="G324" s="9" t="str">
        <x:f>IF(D324=0,"n.a.",F324/D324)</x:f>
        <x:v>n.a.</x:v>
      </x:c>
      <x:c r="H324" s="9" t="n">
        <x:f>D324/SUMIFS($D$6:$D$449,$A$6:$A$449,A324,$B$6:$B$449,B324)</x:f>
        <x:v>0</x:v>
      </x:c>
      <x:c r="I324" s="9" t="n">
        <x:f>E324/SUMIFS($E$6:$E$449,$A$6:$A$449,A324,$B$6:$B$449,B324)</x:f>
        <x:v>0</x:v>
      </x:c>
      <x:c r="J324" s="10" t="n">
        <x:f>(I324-H324)*100</x:f>
        <x:v>0</x:v>
      </x:c>
      <x:c r="K324" s="2"/>
      <x:c r="L324" s="2"/>
      <x:c r="M324" s="2" t="str">
        <x:f>IF(OR(K324="",L324=""),"n.a.",K324-L324)</x:f>
        <x:v>n.a.</x:v>
      </x:c>
    </x:row>
    <x:row r="325" ht="22" customHeight="1">
      <x:c r="A325" s="2" t="str">
        <x:v>全样本</x:v>
      </x:c>
      <x:c r="B325" s="2" t="str">
        <x:v>H12026</x:v>
      </x:c>
      <x:c r="C325" s="2" t="str">
        <x:v>陆风</x:v>
      </x:c>
      <x:c r="D325" s="8" t="n">
        <x:v>0</x:v>
      </x:c>
      <x:c r="E325" s="8" t="n">
        <x:v>0</x:v>
      </x:c>
      <x:c r="F325" s="8" t="n">
        <x:f>E325-D325</x:f>
        <x:v>0</x:v>
      </x:c>
      <x:c r="G325" s="9" t="str">
        <x:f>IF(D325=0,"n.a.",F325/D325)</x:f>
        <x:v>n.a.</x:v>
      </x:c>
      <x:c r="H325" s="9" t="n">
        <x:f>D325/SUMIFS($D$6:$D$449,$A$6:$A$449,A325,$B$6:$B$449,B325)</x:f>
        <x:v>0</x:v>
      </x:c>
      <x:c r="I325" s="9" t="n">
        <x:f>E325/SUMIFS($E$6:$E$449,$A$6:$A$449,A325,$B$6:$B$449,B325)</x:f>
        <x:v>0</x:v>
      </x:c>
      <x:c r="J325" s="10" t="n">
        <x:f>(I325-H325)*100</x:f>
        <x:v>0</x:v>
      </x:c>
      <x:c r="K325" s="2"/>
      <x:c r="L325" s="2"/>
      <x:c r="M325" s="2" t="str">
        <x:f>IF(OR(K325="",L325=""),"n.a.",K325-L325)</x:f>
        <x:v>n.a.</x:v>
      </x:c>
    </x:row>
    <x:row r="326" ht="22" customHeight="1">
      <x:c r="A326" s="2" t="str">
        <x:v>全样本</x:v>
      </x:c>
      <x:c r="B326" s="2" t="str">
        <x:v>H12026</x:v>
      </x:c>
      <x:c r="C326" s="2" t="str">
        <x:v>雷丁</x:v>
      </x:c>
      <x:c r="D326" s="8" t="n">
        <x:v>0</x:v>
      </x:c>
      <x:c r="E326" s="8" t="n">
        <x:v>0</x:v>
      </x:c>
      <x:c r="F326" s="8" t="n">
        <x:f>E326-D326</x:f>
        <x:v>0</x:v>
      </x:c>
      <x:c r="G326" s="9" t="str">
        <x:f>IF(D326=0,"n.a.",F326/D326)</x:f>
        <x:v>n.a.</x:v>
      </x:c>
      <x:c r="H326" s="9" t="n">
        <x:f>D326/SUMIFS($D$6:$D$449,$A$6:$A$449,A326,$B$6:$B$449,B326)</x:f>
        <x:v>0</x:v>
      </x:c>
      <x:c r="I326" s="9" t="n">
        <x:f>E326/SUMIFS($E$6:$E$449,$A$6:$A$449,A326,$B$6:$B$449,B326)</x:f>
        <x:v>0</x:v>
      </x:c>
      <x:c r="J326" s="10" t="n">
        <x:f>(I326-H326)*100</x:f>
        <x:v>0</x:v>
      </x:c>
      <x:c r="K326" s="2"/>
      <x:c r="L326" s="2"/>
      <x:c r="M326" s="2" t="str">
        <x:f>IF(OR(K326="",L326=""),"n.a.",K326-L326)</x:f>
        <x:v>n.a.</x:v>
      </x:c>
    </x:row>
    <x:row r="327" ht="22" customHeight="1">
      <x:c r="A327" s="2" t="str">
        <x:v>全样本</x:v>
      </x:c>
      <x:c r="B327" s="2" t="str">
        <x:v>H12026</x:v>
      </x:c>
      <x:c r="C327" s="2" t="str">
        <x:v>雷诺</x:v>
      </x:c>
      <x:c r="D327" s="8" t="n">
        <x:v>0</x:v>
      </x:c>
      <x:c r="E327" s="8" t="n">
        <x:v>0</x:v>
      </x:c>
      <x:c r="F327" s="8" t="n">
        <x:f>E327-D327</x:f>
        <x:v>0</x:v>
      </x:c>
      <x:c r="G327" s="9" t="str">
        <x:f>IF(D327=0,"n.a.",F327/D327)</x:f>
        <x:v>n.a.</x:v>
      </x:c>
      <x:c r="H327" s="9" t="n">
        <x:f>D327/SUMIFS($D$6:$D$449,$A$6:$A$449,A327,$B$6:$B$449,B327)</x:f>
        <x:v>0</x:v>
      </x:c>
      <x:c r="I327" s="9" t="n">
        <x:f>E327/SUMIFS($E$6:$E$449,$A$6:$A$449,A327,$B$6:$B$449,B327)</x:f>
        <x:v>0</x:v>
      </x:c>
      <x:c r="J327" s="10" t="n">
        <x:f>(I327-H327)*100</x:f>
        <x:v>0</x:v>
      </x:c>
      <x:c r="K327" s="2"/>
      <x:c r="L327" s="2"/>
      <x:c r="M327" s="2" t="str">
        <x:f>IF(OR(K327="",L327=""),"n.a.",K327-L327)</x:f>
        <x:v>n.a.</x:v>
      </x:c>
    </x:row>
    <x:row r="328" ht="22" customHeight="1">
      <x:c r="A328" s="2" t="str">
        <x:v>全样本</x:v>
      </x:c>
      <x:c r="B328" s="2" t="str">
        <x:v>H12026</x:v>
      </x:c>
      <x:c r="C328" s="2" t="str">
        <x:v>领途</x:v>
      </x:c>
      <x:c r="D328" s="8" t="n">
        <x:v>0</x:v>
      </x:c>
      <x:c r="E328" s="8" t="n">
        <x:v>0</x:v>
      </x:c>
      <x:c r="F328" s="8" t="n">
        <x:f>E328-D328</x:f>
        <x:v>0</x:v>
      </x:c>
      <x:c r="G328" s="9" t="str">
        <x:f>IF(D328=0,"n.a.",F328/D328)</x:f>
        <x:v>n.a.</x:v>
      </x:c>
      <x:c r="H328" s="9" t="n">
        <x:f>D328/SUMIFS($D$6:$D$449,$A$6:$A$449,A328,$B$6:$B$449,B328)</x:f>
        <x:v>0</x:v>
      </x:c>
      <x:c r="I328" s="9" t="n">
        <x:f>E328/SUMIFS($E$6:$E$449,$A$6:$A$449,A328,$B$6:$B$449,B328)</x:f>
        <x:v>0</x:v>
      </x:c>
      <x:c r="J328" s="10" t="n">
        <x:f>(I328-H328)*100</x:f>
        <x:v>0</x:v>
      </x:c>
      <x:c r="K328" s="2"/>
      <x:c r="L328" s="2"/>
      <x:c r="M328" s="2" t="str">
        <x:f>IF(OR(K328="",L328=""),"n.a.",K328-L328)</x:f>
        <x:v>n.a.</x:v>
      </x:c>
    </x:row>
    <x:row r="329" ht="22" customHeight="1">
      <x:c r="A329" s="2" t="str">
        <x:v>全样本</x:v>
      </x:c>
      <x:c r="B329" s="2" t="str">
        <x:v>H12026</x:v>
      </x:c>
      <x:c r="C329" s="2" t="str">
        <x:v>驭胜</x:v>
      </x:c>
      <x:c r="D329" s="8" t="n">
        <x:v>0</x:v>
      </x:c>
      <x:c r="E329" s="8" t="n">
        <x:v>0</x:v>
      </x:c>
      <x:c r="F329" s="8" t="n">
        <x:f>E329-D329</x:f>
        <x:v>0</x:v>
      </x:c>
      <x:c r="G329" s="9" t="str">
        <x:f>IF(D329=0,"n.a.",F329/D329)</x:f>
        <x:v>n.a.</x:v>
      </x:c>
      <x:c r="H329" s="9" t="n">
        <x:f>D329/SUMIFS($D$6:$D$449,$A$6:$A$449,A329,$B$6:$B$449,B329)</x:f>
        <x:v>0</x:v>
      </x:c>
      <x:c r="I329" s="9" t="n">
        <x:f>E329/SUMIFS($E$6:$E$449,$A$6:$A$449,A329,$B$6:$B$449,B329)</x:f>
        <x:v>0</x:v>
      </x:c>
      <x:c r="J329" s="10" t="n">
        <x:f>(I329-H329)*100</x:f>
        <x:v>0</x:v>
      </x:c>
      <x:c r="K329" s="2"/>
      <x:c r="L329" s="2"/>
      <x:c r="M329" s="2" t="str">
        <x:f>IF(OR(K329="",L329=""),"n.a.",K329-L329)</x:f>
        <x:v>n.a.</x:v>
      </x:c>
    </x:row>
    <x:row r="330" ht="22" customHeight="1">
      <x:c r="A330" s="2" t="str">
        <x:v>MPV</x:v>
      </x:c>
      <x:c r="B330" s="2" t="str">
        <x:v>FY2025</x:v>
      </x:c>
      <x:c r="C330" s="2" t="str">
        <x:v>丰田</x:v>
      </x:c>
      <x:c r="D330" s="8" t="n">
        <x:v>168137</x:v>
      </x:c>
      <x:c r="E330" s="8" t="n">
        <x:v>162793</x:v>
      </x:c>
      <x:c r="F330" s="8" t="n">
        <x:f>E330-D330</x:f>
        <x:v>-5344</x:v>
      </x:c>
      <x:c r="G330" s="9" t="n">
        <x:f>IF(D330=0,"n.a.",F330/D330)</x:f>
        <x:v>-0.03178360503636915</x:v>
      </x:c>
      <x:c r="H330" s="9" t="n">
        <x:f>D330/SUMIFS($D$6:$D$449,$A$6:$A$449,A330,$B$6:$B$449,B330)</x:f>
        <x:v>0.18024592097081968</x:v>
      </x:c>
      <x:c r="I330" s="9" t="n">
        <x:f>E330/SUMIFS($E$6:$E$449,$A$6:$A$449,A330,$B$6:$B$449,B330)</x:f>
        <x:v>0.17332288524743758</x:v>
      </x:c>
      <x:c r="J330" s="10" t="n">
        <x:f>(I330-H330)*100</x:f>
        <x:v>-0.6923035723382098</x:v>
      </x:c>
      <x:c r="K330" s="2" t="n">
        <x:v>2</x:v>
      </x:c>
      <x:c r="L330" s="2" t="n">
        <x:v>1</x:v>
      </x:c>
      <x:c r="M330" s="2" t="n">
        <x:f>IF(OR(K330="",L330=""),"n.a.",K330-L330)</x:f>
        <x:v>1</x:v>
      </x:c>
    </x:row>
    <x:row r="331" ht="22" customHeight="1">
      <x:c r="A331" s="2" t="str">
        <x:v>MPV</x:v>
      </x:c>
      <x:c r="B331" s="2" t="str">
        <x:v>FY2025</x:v>
      </x:c>
      <x:c r="C331" s="2" t="str">
        <x:v>别克</x:v>
      </x:c>
      <x:c r="D331" s="8" t="n">
        <x:v>98601</x:v>
      </x:c>
      <x:c r="E331" s="8" t="n">
        <x:v>121949</x:v>
      </x:c>
      <x:c r="F331" s="8" t="n">
        <x:f>E331-D331</x:f>
        <x:v>23348</x:v>
      </x:c>
      <x:c r="G331" s="9" t="n">
        <x:f>IF(D331=0,"n.a.",F331/D331)</x:f>
        <x:v>0.23679273029685297</x:v>
      </x:c>
      <x:c r="H331" s="9" t="n">
        <x:f>D331/SUMIFS($D$6:$D$449,$A$6:$A$449,A331,$B$6:$B$449,B331)</x:f>
        <x:v>0.10570206470701743</x:v>
      </x:c>
      <x:c r="I331" s="9" t="n">
        <x:f>E331/SUMIFS($E$6:$E$449,$A$6:$A$449,A331,$B$6:$B$449,B331)</x:f>
        <x:v>0.12983698643700753</x:v>
      </x:c>
      <x:c r="J331" s="10" t="n">
        <x:f>(I331-H331)*100</x:f>
        <x:v>2.41349217299901</x:v>
      </x:c>
      <x:c r="K331" s="2" t="n">
        <x:v>4</x:v>
      </x:c>
      <x:c r="L331" s="2" t="n">
        <x:v>2</x:v>
      </x:c>
      <x:c r="M331" s="2" t="n">
        <x:f>IF(OR(K331="",L331=""),"n.a.",K331-L331)</x:f>
        <x:v>2</x:v>
      </x:c>
    </x:row>
    <x:row r="332" ht="22" customHeight="1">
      <x:c r="A332" s="2" t="str">
        <x:v>MPV</x:v>
      </x:c>
      <x:c r="B332" s="2" t="str">
        <x:v>FY2025</x:v>
      </x:c>
      <x:c r="C332" s="2" t="str">
        <x:v>广汽传祺</x:v>
      </x:c>
      <x:c r="D332" s="8" t="n">
        <x:v>176824</x:v>
      </x:c>
      <x:c r="E332" s="8" t="n">
        <x:v>110426</x:v>
      </x:c>
      <x:c r="F332" s="8" t="n">
        <x:f>E332-D332</x:f>
        <x:v>-66398</x:v>
      </x:c>
      <x:c r="G332" s="9" t="n">
        <x:f>IF(D332=0,"n.a.",F332/D332)</x:f>
        <x:v>-0.3755033253404515</x:v>
      </x:c>
      <x:c r="H332" s="9" t="n">
        <x:f>D332/SUMIFS($D$6:$D$449,$A$6:$A$449,A332,$B$6:$B$449,B332)</x:f>
        <x:v>0.1895585429128878</x:v>
      </x:c>
      <x:c r="I332" s="9" t="n">
        <x:f>E332/SUMIFS($E$6:$E$449,$A$6:$A$449,A332,$B$6:$B$449,B332)</x:f>
        <x:v>0.11756864807659753</x:v>
      </x:c>
      <x:c r="J332" s="10" t="n">
        <x:f>(I332-H332)*100</x:f>
        <x:v>-7.198989483629026</x:v>
      </x:c>
      <x:c r="K332" s="2" t="n">
        <x:v>1</x:v>
      </x:c>
      <x:c r="L332" s="2" t="n">
        <x:v>3</x:v>
      </x:c>
      <x:c r="M332" s="2" t="n">
        <x:f>IF(OR(K332="",L332=""),"n.a.",K332-L332)</x:f>
        <x:v>-2</x:v>
      </x:c>
    </x:row>
    <x:row r="333" ht="22" customHeight="1">
      <x:c r="A333" s="2" t="str">
        <x:v>MPV</x:v>
      </x:c>
      <x:c r="B333" s="2" t="str">
        <x:v>FY2025</x:v>
      </x:c>
      <x:c r="C333" s="2" t="str">
        <x:v>腾势</x:v>
      </x:c>
      <x:c r="D333" s="8" t="n">
        <x:v>102810</x:v>
      </x:c>
      <x:c r="E333" s="8" t="n">
        <x:v>92988</x:v>
      </x:c>
      <x:c r="F333" s="8" t="n">
        <x:f>E333-D333</x:f>
        <x:v>-9822</x:v>
      </x:c>
      <x:c r="G333" s="9" t="n">
        <x:f>IF(D333=0,"n.a.",F333/D333)</x:f>
        <x:v>-0.09553545374963525</x:v>
      </x:c>
      <x:c r="H333" s="9" t="n">
        <x:f>D333/SUMIFS($D$6:$D$449,$A$6:$A$449,A333,$B$6:$B$449,B333)</x:f>
        <x:v>0.11021418923264939</x:v>
      </x:c>
      <x:c r="I333" s="9" t="n">
        <x:f>E333/SUMIFS($E$6:$E$449,$A$6:$A$449,A333,$B$6:$B$449,B333)</x:f>
        <x:v>0.09900271174675032</x:v>
      </x:c>
      <x:c r="J333" s="10" t="n">
        <x:f>(I333-H333)*100</x:f>
        <x:v>-1.1211477485899068</x:v>
      </x:c>
      <x:c r="K333" s="2" t="n">
        <x:v>3</x:v>
      </x:c>
      <x:c r="L333" s="2" t="n">
        <x:v>4</x:v>
      </x:c>
      <x:c r="M333" s="2" t="n">
        <x:f>IF(OR(K333="",L333=""),"n.a.",K333-L333)</x:f>
        <x:v>-1</x:v>
      </x:c>
    </x:row>
    <x:row r="334" ht="22" customHeight="1">
      <x:c r="A334" s="2" t="str">
        <x:v>MPV</x:v>
      </x:c>
      <x:c r="B334" s="2" t="str">
        <x:v>FY2025</x:v>
      </x:c>
      <x:c r="C334" s="2" t="str">
        <x:v>岚图汽车</x:v>
      </x:c>
      <x:c r="D334" s="8" t="n">
        <x:v>55117</x:v>
      </x:c>
      <x:c r="E334" s="8" t="n">
        <x:v>80248</x:v>
      </x:c>
      <x:c r="F334" s="8" t="n">
        <x:f>E334-D334</x:f>
        <x:v>25131</x:v>
      </x:c>
      <x:c r="G334" s="9" t="n">
        <x:f>IF(D334=0,"n.a.",F334/D334)</x:f>
        <x:v>0.4559573271404467</x:v>
      </x:c>
      <x:c r="H334" s="9" t="n">
        <x:f>D334/SUMIFS($D$6:$D$449,$A$6:$A$449,A334,$B$6:$B$449,B334)</x:f>
        <x:v>0.05908642610578675</x:v>
      </x:c>
      <x:c r="I334" s="9" t="n">
        <x:f>E334/SUMIFS($E$6:$E$449,$A$6:$A$449,A334,$B$6:$B$449,B334)</x:f>
        <x:v>0.08543865458180862</x:v>
      </x:c>
      <x:c r="J334" s="10" t="n">
        <x:f>(I334-H334)*100</x:f>
        <x:v>2.6352228476021864</x:v>
      </x:c>
      <x:c r="K334" s="2" t="n">
        <x:v>5</x:v>
      </x:c>
      <x:c r="L334" s="2" t="n">
        <x:v>5</x:v>
      </x:c>
      <x:c r="M334" s="2" t="n">
        <x:f>IF(OR(K334="",L334=""),"n.a.",K334-L334)</x:f>
        <x:v>0</x:v>
      </x:c>
    </x:row>
    <x:row r="335" ht="22" customHeight="1">
      <x:c r="A335" s="2" t="str">
        <x:v>MPV</x:v>
      </x:c>
      <x:c r="B335" s="2" t="str">
        <x:v>FY2025</x:v>
      </x:c>
      <x:c r="C335" s="2" t="str">
        <x:v>魏牌</x:v>
      </x:c>
      <x:c r="D335" s="8" t="n">
        <x:v>5633</x:v>
      </x:c>
      <x:c r="E335" s="8" t="n">
        <x:v>59449</x:v>
      </x:c>
      <x:c r="F335" s="8" t="n">
        <x:f>E335-D335</x:f>
        <x:v>53816</x:v>
      </x:c>
      <x:c r="G335" s="9" t="n">
        <x:f>IF(D335=0,"n.a.",F335/D335)</x:f>
        <x:v>9.55370140244985</x:v>
      </x:c>
      <x:c r="H335" s="9" t="n">
        <x:f>D335/SUMIFS($D$6:$D$449,$A$6:$A$449,A335,$B$6:$B$449,B335)</x:f>
        <x:v>0.006038678415985935</x:v>
      </x:c>
      <x:c r="I335" s="9" t="n">
        <x:f>E335/SUMIFS($E$6:$E$449,$A$6:$A$449,A335,$B$6:$B$449,B335)</x:f>
        <x:v>0.06329431981150858</x:v>
      </x:c>
      <x:c r="J335" s="10" t="n">
        <x:f>(I335-H335)*100</x:f>
        <x:v>5.725564139552265</x:v>
      </x:c>
      <x:c r="K335" s="2" t="n">
        <x:v>20</x:v>
      </x:c>
      <x:c r="L335" s="2" t="n">
        <x:v>6</x:v>
      </x:c>
      <x:c r="M335" s="2" t="n">
        <x:f>IF(OR(K335="",L335=""),"n.a.",K335-L335)</x:f>
        <x:v>14</x:v>
      </x:c>
    </x:row>
    <x:row r="336" ht="22" customHeight="1">
      <x:c r="A336" s="2" t="str">
        <x:v>MPV</x:v>
      </x:c>
      <x:c r="B336" s="2" t="str">
        <x:v>FY2025</x:v>
      </x:c>
      <x:c r="C336" s="2" t="str">
        <x:v>五菱</x:v>
      </x:c>
      <x:c r="D336" s="8" t="n">
        <x:v>41668</x:v>
      </x:c>
      <x:c r="E336" s="8" t="n">
        <x:v>38953</x:v>
      </x:c>
      <x:c r="F336" s="8" t="n">
        <x:f>E336-D336</x:f>
        <x:v>-2715</x:v>
      </x:c>
      <x:c r="G336" s="9" t="n">
        <x:f>IF(D336=0,"n.a.",F336/D336)</x:f>
        <x:v>-0.0651579149467217</x:v>
      </x:c>
      <x:c r="H336" s="9" t="n">
        <x:f>D336/SUMIFS($D$6:$D$449,$A$6:$A$449,A336,$B$6:$B$449,B336)</x:f>
        <x:v>0.04466885358375678</x:v>
      </x:c>
      <x:c r="I336" s="9" t="n">
        <x:f>E336/SUMIFS($E$6:$E$449,$A$6:$A$449,A336,$B$6:$B$449,B336)</x:f>
        <x:v>0.041472583889008964</x:v>
      </x:c>
      <x:c r="J336" s="10" t="n">
        <x:f>(I336-H336)*100</x:f>
        <x:v>-0.31962696947478164</x:v>
      </x:c>
      <x:c r="K336" s="2" t="n">
        <x:v>7</x:v>
      </x:c>
      <x:c r="L336" s="2" t="n">
        <x:v>7</x:v>
      </x:c>
      <x:c r="M336" s="2" t="n">
        <x:f>IF(OR(K336="",L336=""),"n.a.",K336-L336)</x:f>
        <x:v>0</x:v>
      </x:c>
    </x:row>
    <x:row r="337" ht="22" customHeight="1">
      <x:c r="A337" s="2" t="str">
        <x:v>MPV</x:v>
      </x:c>
      <x:c r="B337" s="2" t="str">
        <x:v>FY2025</x:v>
      </x:c>
      <x:c r="C337" s="2" t="str">
        <x:v>比亚迪</x:v>
      </x:c>
      <x:c r="D337" s="8" t="n">
        <x:v>0</x:v>
      </x:c>
      <x:c r="E337" s="8" t="n">
        <x:v>27549</x:v>
      </x:c>
      <x:c r="F337" s="8" t="n">
        <x:f>E337-D337</x:f>
        <x:v>27549</x:v>
      </x:c>
      <x:c r="G337" s="9" t="str">
        <x:f>IF(D337=0,"n.a.",F337/D337)</x:f>
        <x:v>n.a.</x:v>
      </x:c>
      <x:c r="H337" s="9" t="n">
        <x:f>D337/SUMIFS($D$6:$D$449,$A$6:$A$449,A337,$B$6:$B$449,B337)</x:f>
        <x:v>0</x:v>
      </x:c>
      <x:c r="I337" s="9" t="n">
        <x:f>E337/SUMIFS($E$6:$E$449,$A$6:$A$449,A337,$B$6:$B$449,B337)</x:f>
        <x:v>0.029330942765853924</x:v>
      </x:c>
      <x:c r="J337" s="10" t="n">
        <x:f>(I337-H337)*100</x:f>
        <x:v>2.9330942765853925</x:v>
      </x:c>
      <x:c r="K337" s="2"/>
      <x:c r="L337" s="2" t="n">
        <x:v>8</x:v>
      </x:c>
      <x:c r="M337" s="2" t="str">
        <x:f>IF(OR(K337="",L337=""),"n.a.",K337-L337)</x:f>
        <x:v>n.a.</x:v>
      </x:c>
    </x:row>
    <x:row r="338" ht="22" customHeight="1">
      <x:c r="A338" s="2" t="str">
        <x:v>MPV</x:v>
      </x:c>
      <x:c r="B338" s="2" t="str">
        <x:v>FY2025</x:v>
      </x:c>
      <x:c r="C338" s="2" t="str">
        <x:v>本田</x:v>
      </x:c>
      <x:c r="D338" s="8" t="n">
        <x:v>51550</x:v>
      </x:c>
      <x:c r="E338" s="8" t="n">
        <x:v>27477</x:v>
      </x:c>
      <x:c r="F338" s="8" t="n">
        <x:f>E338-D338</x:f>
        <x:v>-24073</x:v>
      </x:c>
      <x:c r="G338" s="9" t="n">
        <x:f>IF(D338=0,"n.a.",F338/D338)</x:f>
        <x:v>-0.4669835111542192</x:v>
      </x:c>
      <x:c r="H338" s="9" t="n">
        <x:f>D338/SUMIFS($D$6:$D$449,$A$6:$A$449,A338,$B$6:$B$449,B338)</x:f>
        <x:v>0.055262537252631805</x:v>
      </x:c>
      <x:c r="I338" s="9" t="n">
        <x:f>E338/SUMIFS($E$6:$E$449,$A$6:$A$449,A338,$B$6:$B$449,B338)</x:f>
        <x:v>0.029254285613901348</x:v>
      </x:c>
      <x:c r="J338" s="10" t="n">
        <x:f>(I338-H338)*100</x:f>
        <x:v>-2.6008251638730457</x:v>
      </x:c>
      <x:c r="K338" s="2" t="n">
        <x:v>6</x:v>
      </x:c>
      <x:c r="L338" s="2" t="n">
        <x:v>9</x:v>
      </x:c>
      <x:c r="M338" s="2" t="n">
        <x:f>IF(OR(K338="",L338=""),"n.a.",K338-L338)</x:f>
        <x:v>-3</x:v>
      </x:c>
    </x:row>
    <x:row r="339" ht="22" customHeight="1">
      <x:c r="A339" s="2" t="str">
        <x:v>MPV</x:v>
      </x:c>
      <x:c r="B339" s="2" t="str">
        <x:v>FY2025</x:v>
      </x:c>
      <x:c r="C339" s="2" t="str">
        <x:v>ARCFOX极狐</x:v>
      </x:c>
      <x:c r="D339" s="8" t="n">
        <x:v>19289</x:v>
      </x:c>
      <x:c r="E339" s="8" t="n">
        <x:v>20257</x:v>
      </x:c>
      <x:c r="F339" s="8" t="n">
        <x:f>E339-D339</x:f>
        <x:v>968</x:v>
      </x:c>
      <x:c r="G339" s="9" t="n">
        <x:f>IF(D339=0,"n.a.",F339/D339)</x:f>
        <x:v>0.05018404271864793</x:v>
      </x:c>
      <x:c r="H339" s="9" t="n">
        <x:f>D339/SUMIFS($D$6:$D$449,$A$6:$A$449,A339,$B$6:$B$449,B339)</x:f>
        <x:v>0.020678158701571577</x:v>
      </x:c>
      <x:c r="I339" s="9" t="n">
        <x:f>E339/SUMIFS($E$6:$E$449,$A$6:$A$449,A339,$B$6:$B$449,B339)</x:f>
        <x:v>0.02156727676532371</x:v>
      </x:c>
      <x:c r="J339" s="10" t="n">
        <x:f>(I339-H339)*100</x:f>
        <x:v>0.08891180637521333</x:v>
      </x:c>
      <x:c r="K339" s="2" t="n">
        <x:v>13</x:v>
      </x:c>
      <x:c r="L339" s="2" t="n">
        <x:v>10</x:v>
      </x:c>
      <x:c r="M339" s="2" t="n">
        <x:f>IF(OR(K339="",L339=""),"n.a.",K339-L339)</x:f>
        <x:v>3</x:v>
      </x:c>
    </x:row>
    <x:row r="340" ht="22" customHeight="1">
      <x:c r="A340" s="2" t="str">
        <x:v>MPV</x:v>
      </x:c>
      <x:c r="B340" s="2" t="str">
        <x:v>FY2025</x:v>
      </x:c>
      <x:c r="C340" s="2" t="str">
        <x:v>小鹏</x:v>
      </x:c>
      <x:c r="D340" s="8" t="n">
        <x:v>21608</x:v>
      </x:c>
      <x:c r="E340" s="8" t="n">
        <x:v>20112</x:v>
      </x:c>
      <x:c r="F340" s="8" t="n">
        <x:f>E340-D340</x:f>
        <x:v>-1496</x:v>
      </x:c>
      <x:c r="G340" s="9" t="n">
        <x:f>IF(D340=0,"n.a.",F340/D340)</x:f>
        <x:v>-0.06923361717882266</x:v>
      </x:c>
      <x:c r="H340" s="9" t="n">
        <x:f>D340/SUMIFS($D$6:$D$449,$A$6:$A$449,A340,$B$6:$B$449,B340)</x:f>
        <x:v>0.02316416886430394</x:v>
      </x:c>
      <x:c r="I340" s="9" t="n">
        <x:f>E340/SUMIFS($E$6:$E$449,$A$6:$A$449,A340,$B$6:$B$449,B340)</x:f>
        <x:v>0.021412897778752552</x:v>
      </x:c>
      <x:c r="J340" s="10" t="n">
        <x:f>(I340-H340)*100</x:f>
        <x:v>-0.17512710855513874</x:v>
      </x:c>
      <x:c r="K340" s="2" t="n">
        <x:v>12</x:v>
      </x:c>
      <x:c r="L340" s="2" t="n">
        <x:v>11</x:v>
      </x:c>
      <x:c r="M340" s="2" t="n">
        <x:f>IF(OR(K340="",L340=""),"n.a.",K340-L340)</x:f>
        <x:v>1</x:v>
      </x:c>
    </x:row>
    <x:row r="341" ht="22" customHeight="1">
      <x:c r="A341" s="2" t="str">
        <x:v>MPV</x:v>
      </x:c>
      <x:c r="B341" s="2" t="str">
        <x:v>FY2025</x:v>
      </x:c>
      <x:c r="C341" s="2" t="str">
        <x:v>奔驰</x:v>
      </x:c>
      <x:c r="D341" s="8" t="n">
        <x:v>26842</x:v>
      </x:c>
      <x:c r="E341" s="8" t="n">
        <x:v>19678</x:v>
      </x:c>
      <x:c r="F341" s="8" t="n">
        <x:f>E341-D341</x:f>
        <x:v>-7164</x:v>
      </x:c>
      <x:c r="G341" s="9" t="n">
        <x:f>IF(D341=0,"n.a.",F341/D341)</x:f>
        <x:v>-0.26689516429476196</x:v>
      </x:c>
      <x:c r="H341" s="9" t="n">
        <x:f>D341/SUMIFS($D$6:$D$449,$A$6:$A$449,A341,$B$6:$B$449,B341)</x:f>
        <x:v>0.028775112025899958</x:v>
      </x:c>
      <x:c r="I341" s="9" t="n">
        <x:f>E341/SUMIFS($E$6:$E$449,$A$6:$A$449,A341,$B$6:$B$449,B341)</x:f>
        <x:v>0.02095082550170509</x:v>
      </x:c>
      <x:c r="J341" s="10" t="n">
        <x:f>(I341-H341)*100</x:f>
        <x:v>-0.7824286524194868</x:v>
      </x:c>
      <x:c r="K341" s="2" t="n">
        <x:v>8</x:v>
      </x:c>
      <x:c r="L341" s="2" t="n">
        <x:v>12</x:v>
      </x:c>
      <x:c r="M341" s="2" t="n">
        <x:f>IF(OR(K341="",L341=""),"n.a.",K341-L341)</x:f>
        <x:v>-4</x:v>
      </x:c>
    </x:row>
    <x:row r="342" ht="22" customHeight="1">
      <x:c r="A342" s="2" t="str">
        <x:v>MPV</x:v>
      </x:c>
      <x:c r="B342" s="2" t="str">
        <x:v>FY2025</x:v>
      </x:c>
      <x:c r="C342" s="2" t="str">
        <x:v>极氪</x:v>
      </x:c>
      <x:c r="D342" s="8" t="n">
        <x:v>22631</x:v>
      </x:c>
      <x:c r="E342" s="8" t="n">
        <x:v>19522</x:v>
      </x:c>
      <x:c r="F342" s="8" t="n">
        <x:f>E342-D342</x:f>
        <x:v>-3109</x:v>
      </x:c>
      <x:c r="G342" s="9" t="n">
        <x:f>IF(D342=0,"n.a.",F342/D342)</x:f>
        <x:v>-0.1373779329238655</x:v>
      </x:c>
      <x:c r="H342" s="9" t="n">
        <x:f>D342/SUMIFS($D$6:$D$449,$A$6:$A$449,A342,$B$6:$B$449,B342)</x:f>
        <x:v>0.024260843463905148</x:v>
      </x:c>
      <x:c r="I342" s="9" t="n">
        <x:f>E342/SUMIFS($E$6:$E$449,$A$6:$A$449,A342,$B$6:$B$449,B342)</x:f>
        <x:v>0.020784735005807842</x:v>
      </x:c>
      <x:c r="J342" s="10" t="n">
        <x:f>(I342-H342)*100</x:f>
        <x:v>-0.3476108458097305</x:v>
      </x:c>
      <x:c r="K342" s="2" t="n">
        <x:v>10</x:v>
      </x:c>
      <x:c r="L342" s="2" t="n">
        <x:v>13</x:v>
      </x:c>
      <x:c r="M342" s="2" t="n">
        <x:f>IF(OR(K342="",L342=""),"n.a.",K342-L342)</x:f>
        <x:v>-3</x:v>
      </x:c>
    </x:row>
    <x:row r="343" ht="22" customHeight="1">
      <x:c r="A343" s="2" t="str">
        <x:v>MPV</x:v>
      </x:c>
      <x:c r="B343" s="2" t="str">
        <x:v>FY2025</x:v>
      </x:c>
      <x:c r="C343" s="2" t="str">
        <x:v>东风风行</x:v>
      </x:c>
      <x:c r="D343" s="8" t="n">
        <x:v>24019</x:v>
      </x:c>
      <x:c r="E343" s="8" t="n">
        <x:v>18854</x:v>
      </x:c>
      <x:c r="F343" s="8" t="n">
        <x:f>E343-D343</x:f>
        <x:v>-5165</x:v>
      </x:c>
      <x:c r="G343" s="9" t="n">
        <x:f>IF(D343=0,"n.a.",F343/D343)</x:f>
        <x:v>-0.21503809484158373</x:v>
      </x:c>
      <x:c r="H343" s="9" t="n">
        <x:f>D343/SUMIFS($D$6:$D$449,$A$6:$A$449,A343,$B$6:$B$449,B343)</x:f>
        <x:v>0.025748804699727706</x:v>
      </x:c>
      <x:c r="I343" s="9" t="n">
        <x:f>E343/SUMIFS($E$6:$E$449,$A$6:$A$449,A343,$B$6:$B$449,B343)</x:f>
        <x:v>0.020073526984914512</x:v>
      </x:c>
      <x:c r="J343" s="10" t="n">
        <x:f>(I343-H343)*100</x:f>
        <x:v>-0.5675277714813194</x:v>
      </x:c>
      <x:c r="K343" s="2" t="n">
        <x:v>9</x:v>
      </x:c>
      <x:c r="L343" s="2" t="n">
        <x:v>14</x:v>
      </x:c>
      <x:c r="M343" s="2" t="n">
        <x:f>IF(OR(K343="",L343=""),"n.a.",K343-L343)</x:f>
        <x:v>-5</x:v>
      </x:c>
    </x:row>
    <x:row r="344" ht="22" customHeight="1">
      <x:c r="A344" s="2" t="str">
        <x:v>MPV</x:v>
      </x:c>
      <x:c r="B344" s="2" t="str">
        <x:v>FY2025</x:v>
      </x:c>
      <x:c r="C344" s="2" t="str">
        <x:v>理想汽车</x:v>
      </x:c>
      <x:c r="D344" s="8" t="n">
        <x:v>10798</x:v>
      </x:c>
      <x:c r="E344" s="8" t="n">
        <x:v>18541</x:v>
      </x:c>
      <x:c r="F344" s="8" t="n">
        <x:f>E344-D344</x:f>
        <x:v>7743</x:v>
      </x:c>
      <x:c r="G344" s="9" t="n">
        <x:f>IF(D344=0,"n.a.",F344/D344)</x:f>
        <x:v>0.7170772365252824</x:v>
      </x:c>
      <x:c r="H344" s="9" t="n">
        <x:f>D344/SUMIFS($D$6:$D$449,$A$6:$A$449,A344,$B$6:$B$449,B344)</x:f>
        <x:v>0.0115756523230634</x:v>
      </x:c>
      <x:c r="I344" s="9" t="n">
        <x:f>E344/SUMIFS($E$6:$E$449,$A$6:$A$449,A344,$B$6:$B$449,B344)</x:f>
        <x:v>0.01974028131045401</x:v>
      </x:c>
      <x:c r="J344" s="10" t="n">
        <x:f>(I344-H344)*100</x:f>
        <x:v>0.8164628987390612</x:v>
      </x:c>
      <x:c r="K344" s="2" t="n">
        <x:v>18</x:v>
      </x:c>
      <x:c r="L344" s="2" t="n">
        <x:v>15</x:v>
      </x:c>
      <x:c r="M344" s="2" t="n">
        <x:f>IF(OR(K344="",L344=""),"n.a.",K344-L344)</x:f>
        <x:v>3</x:v>
      </x:c>
    </x:row>
    <x:row r="345" ht="22" customHeight="1">
      <x:c r="A345" s="2" t="str">
        <x:v>MPV</x:v>
      </x:c>
      <x:c r="B345" s="2" t="str">
        <x:v>FY2025</x:v>
      </x:c>
      <x:c r="C345" s="2" t="str">
        <x:v>大通</x:v>
      </x:c>
      <x:c r="D345" s="8" t="n">
        <x:v>22085</x:v>
      </x:c>
      <x:c r="E345" s="8" t="n">
        <x:v>17180</x:v>
      </x:c>
      <x:c r="F345" s="8" t="n">
        <x:f>E345-D345</x:f>
        <x:v>-4905</x:v>
      </x:c>
      <x:c r="G345" s="9" t="n">
        <x:f>IF(D345=0,"n.a.",F345/D345)</x:f>
        <x:v>-0.22209644555127914</x:v>
      </x:c>
      <x:c r="H345" s="9" t="n">
        <x:f>D345/SUMIFS($D$6:$D$449,$A$6:$A$449,A345,$B$6:$B$449,B345)</x:f>
        <x:v>0.023675521536845264</x:v>
      </x:c>
      <x:c r="I345" s="9" t="n">
        <x:f>E345/SUMIFS($E$6:$E$449,$A$6:$A$449,A345,$B$6:$B$449,B345)</x:f>
        <x:v>0.01829124820201715</x:v>
      </x:c>
      <x:c r="J345" s="10" t="n">
        <x:f>(I345-H345)*100</x:f>
        <x:v>-0.5384273334828115</x:v>
      </x:c>
      <x:c r="K345" s="2" t="n">
        <x:v>11</x:v>
      </x:c>
      <x:c r="L345" s="2" t="n">
        <x:v>16</x:v>
      </x:c>
      <x:c r="M345" s="2" t="n">
        <x:f>IF(OR(K345="",L345=""),"n.a.",K345-L345)</x:f>
        <x:v>-5</x:v>
      </x:c>
    </x:row>
    <x:row r="346" ht="22" customHeight="1">
      <x:c r="A346" s="2" t="str">
        <x:v>MPV</x:v>
      </x:c>
      <x:c r="B346" s="2" t="str">
        <x:v>FY2025</x:v>
      </x:c>
      <x:c r="C346" s="2" t="str">
        <x:v>北汽制造</x:v>
      </x:c>
      <x:c r="D346" s="8" t="n">
        <x:v>13143</x:v>
      </x:c>
      <x:c r="E346" s="8" t="n">
        <x:v>17078</x:v>
      </x:c>
      <x:c r="F346" s="8" t="n">
        <x:f>E346-D346</x:f>
        <x:v>3935</x:v>
      </x:c>
      <x:c r="G346" s="9" t="n">
        <x:f>IF(D346=0,"n.a.",F346/D346)</x:f>
        <x:v>0.29939891957696113</x:v>
      </x:c>
      <x:c r="H346" s="9" t="n">
        <x:f>D346/SUMIFS($D$6:$D$449,$A$6:$A$449,A346,$B$6:$B$449,B346)</x:f>
        <x:v>0.014089534958512897</x:v>
      </x:c>
      <x:c r="I346" s="9" t="n">
        <x:f>E346/SUMIFS($E$6:$E$449,$A$6:$A$449,A346,$B$6:$B$449,B346)</x:f>
        <x:v>0.018182650570084332</x:v>
      </x:c>
      <x:c r="J346" s="10" t="n">
        <x:f>(I346-H346)*100</x:f>
        <x:v>0.40931156115714357</x:v>
      </x:c>
      <x:c r="K346" s="2" t="n">
        <x:v>17</x:v>
      </x:c>
      <x:c r="L346" s="2" t="n">
        <x:v>17</x:v>
      </x:c>
      <x:c r="M346" s="2" t="n">
        <x:f>IF(OR(K346="",L346=""),"n.a.",K346-L346)</x:f>
        <x:v>0</x:v>
      </x:c>
    </x:row>
    <x:row r="347" ht="22" customHeight="1">
      <x:c r="A347" s="2" t="str">
        <x:v>MPV</x:v>
      </x:c>
      <x:c r="B347" s="2" t="str">
        <x:v>FY2025</x:v>
      </x:c>
      <x:c r="C347" s="2" t="str">
        <x:v>现代</x:v>
      </x:c>
      <x:c r="D347" s="8" t="n">
        <x:v>10379</x:v>
      </x:c>
      <x:c r="E347" s="8" t="n">
        <x:v>16968</x:v>
      </x:c>
      <x:c r="F347" s="8" t="n">
        <x:f>E347-D347</x:f>
        <x:v>6589</x:v>
      </x:c>
      <x:c r="G347" s="9" t="n">
        <x:f>IF(D347=0,"n.a.",F347/D347)</x:f>
        <x:v>0.6348395799209943</x:v>
      </x:c>
      <x:c r="H347" s="9" t="n">
        <x:f>D347/SUMIFS($D$6:$D$449,$A$6:$A$449,A347,$B$6:$B$449,B347)</x:f>
        <x:v>0.011126476705044918</x:v>
      </x:c>
      <x:c r="I347" s="9" t="n">
        <x:f>E347/SUMIFS($E$6:$E$449,$A$6:$A$449,A347,$B$6:$B$449,B347)</x:f>
        <x:v>0.018065535476823456</x:v>
      </x:c>
      <x:c r="J347" s="10" t="n">
        <x:f>(I347-H347)*100</x:f>
        <x:v>0.6939058771778538</x:v>
      </x:c>
      <x:c r="K347" s="2" t="n">
        <x:v>19</x:v>
      </x:c>
      <x:c r="L347" s="2" t="n">
        <x:v>18</x:v>
      </x:c>
      <x:c r="M347" s="2" t="n">
        <x:f>IF(OR(K347="",L347=""),"n.a.",K347-L347)</x:f>
        <x:v>1</x:v>
      </x:c>
    </x:row>
    <x:row r="348" ht="22" customHeight="1">
      <x:c r="A348" s="2" t="str">
        <x:v>MPV</x:v>
      </x:c>
      <x:c r="B348" s="2" t="str">
        <x:v>FY2025</x:v>
      </x:c>
      <x:c r="C348" s="2" t="str">
        <x:v>江淮瑞风</x:v>
      </x:c>
      <x:c r="D348" s="8" t="n">
        <x:v>13789</x:v>
      </x:c>
      <x:c r="E348" s="8" t="n">
        <x:v>11436</x:v>
      </x:c>
      <x:c r="F348" s="8" t="n">
        <x:f>E348-D348</x:f>
        <x:v>-2353</x:v>
      </x:c>
      <x:c r="G348" s="9" t="n">
        <x:f>IF(D348=0,"n.a.",F348/D348)</x:f>
        <x:v>-0.1706432663717456</x:v>
      </x:c>
      <x:c r="H348" s="9" t="n">
        <x:f>D348/SUMIFS($D$6:$D$449,$A$6:$A$449,A348,$B$6:$B$449,B348)</x:f>
        <x:v>0.014782058703715614</x:v>
      </x:c>
      <x:c r="I348" s="9" t="n">
        <x:f>E348/SUMIFS($E$6:$E$449,$A$6:$A$449,A348,$B$6:$B$449,B348)</x:f>
        <x:v>0.012175710968467294</x:v>
      </x:c>
      <x:c r="J348" s="10" t="n">
        <x:f>(I348-H348)*100</x:f>
        <x:v>-0.26063477352483205</x:v>
      </x:c>
      <x:c r="K348" s="2" t="n">
        <x:v>15</x:v>
      </x:c>
      <x:c r="L348" s="2" t="n">
        <x:v>19</x:v>
      </x:c>
      <x:c r="M348" s="2" t="n">
        <x:f>IF(OR(K348="",L348=""),"n.a.",K348-L348)</x:f>
        <x:v>-4</x:v>
      </x:c>
    </x:row>
    <x:row r="349" ht="22" customHeight="1">
      <x:c r="A349" s="2" t="str">
        <x:v>MPV</x:v>
      </x:c>
      <x:c r="B349" s="2" t="str">
        <x:v>FY2025</x:v>
      </x:c>
      <x:c r="C349" s="2" t="str">
        <x:v>大众</x:v>
      </x:c>
      <x:c r="D349" s="8" t="n">
        <x:v>15572</x:v>
      </x:c>
      <x:c r="E349" s="8" t="n">
        <x:v>11355</x:v>
      </x:c>
      <x:c r="F349" s="8" t="n">
        <x:f>E349-D349</x:f>
        <x:v>-4217</x:v>
      </x:c>
      <x:c r="G349" s="9" t="n">
        <x:f>IF(D349=0,"n.a.",F349/D349)</x:f>
        <x:v>-0.27080657590547136</x:v>
      </x:c>
      <x:c r="H349" s="9" t="n">
        <x:f>D349/SUMIFS($D$6:$D$449,$A$6:$A$449,A349,$B$6:$B$449,B349)</x:f>
        <x:v>0.016693467121202375</x:v>
      </x:c>
      <x:c r="I349" s="9" t="n">
        <x:f>E349/SUMIFS($E$6:$E$449,$A$6:$A$449,A349,$B$6:$B$449,B349)</x:f>
        <x:v>0.012089471672520646</x:v>
      </x:c>
      <x:c r="J349" s="10" t="n">
        <x:f>(I349-H349)*100</x:f>
        <x:v>-0.46039954486817286</x:v>
      </x:c>
      <x:c r="K349" s="2" t="n">
        <x:v>14</x:v>
      </x:c>
      <x:c r="L349" s="2" t="n">
        <x:v>20</x:v>
      </x:c>
      <x:c r="M349" s="2" t="n">
        <x:f>IF(OR(K349="",L349=""),"n.a.",K349-L349)</x:f>
        <x:v>-6</x:v>
      </x:c>
    </x:row>
    <x:row r="350" ht="22" customHeight="1">
      <x:c r="A350" s="2" t="str">
        <x:v>MPV</x:v>
      </x:c>
      <x:c r="B350" s="2" t="str">
        <x:v>FY2025</x:v>
      </x:c>
      <x:c r="C350" s="2" t="str">
        <x:v>长安凯程</x:v>
      </x:c>
      <x:c r="D350" s="8" t="n">
        <x:v>13698</x:v>
      </x:c>
      <x:c r="E350" s="8" t="n">
        <x:v>11142</x:v>
      </x:c>
      <x:c r="F350" s="8" t="n">
        <x:f>E350-D350</x:f>
        <x:v>-2556</x:v>
      </x:c>
      <x:c r="G350" s="9" t="n">
        <x:f>IF(D350=0,"n.a.",F350/D350)</x:f>
        <x:v>-0.18659658344283836</x:v>
      </x:c>
      <x:c r="H350" s="9" t="n">
        <x:f>D350/SUMIFS($D$6:$D$449,$A$6:$A$449,A350,$B$6:$B$449,B350)</x:f>
        <x:v>0.014684505049205635</x:v>
      </x:c>
      <x:c r="I350" s="9" t="n">
        <x:f>E350/SUMIFS($E$6:$E$449,$A$6:$A$449,A350,$B$6:$B$449,B350)</x:f>
        <x:v>0.011862694264660946</x:v>
      </x:c>
      <x:c r="J350" s="10" t="n">
        <x:f>(I350-H350)*100</x:f>
        <x:v>-0.2821810784544689</x:v>
      </x:c>
      <x:c r="K350" s="2" t="n">
        <x:v>16</x:v>
      </x:c>
      <x:c r="L350" s="2" t="n">
        <x:v>21</x:v>
      </x:c>
      <x:c r="M350" s="2" t="n">
        <x:f>IF(OR(K350="",L350=""),"n.a.",K350-L350)</x:f>
        <x:v>-5</x:v>
      </x:c>
    </x:row>
    <x:row r="351" ht="22" customHeight="1">
      <x:c r="A351" s="2" t="str">
        <x:v>MPV</x:v>
      </x:c>
      <x:c r="B351" s="2" t="str">
        <x:v>FY2025</x:v>
      </x:c>
      <x:c r="C351" s="2" t="str">
        <x:v>红旗</x:v>
      </x:c>
      <x:c r="D351" s="8" t="n">
        <x:v>5231</x:v>
      </x:c>
      <x:c r="E351" s="8" t="n">
        <x:v>5754</x:v>
      </x:c>
      <x:c r="F351" s="8" t="n">
        <x:f>E351-D351</x:f>
        <x:v>523</x:v>
      </x:c>
      <x:c r="G351" s="9" t="n">
        <x:f>IF(D351=0,"n.a.",F351/D351)</x:f>
        <x:v>0.09998088319632957</x:v>
      </x:c>
      <x:c r="H351" s="9" t="n">
        <x:f>D351/SUMIFS($D$6:$D$449,$A$6:$A$449,A351,$B$6:$B$449,B351)</x:f>
        <x:v>0.005607727107051735</x:v>
      </x:c>
      <x:c r="I351" s="9" t="n">
        <x:f>E351/SUMIFS($E$6:$E$449,$A$6:$A$449,A351,$B$6:$B$449,B351)</x:f>
        <x:v>0.006126184060209934</x:v>
      </x:c>
      <x:c r="J351" s="10" t="n">
        <x:f>(I351-H351)*100</x:f>
        <x:v>0.05184569531581987</x:v>
      </x:c>
      <x:c r="K351" s="2" t="n">
        <x:v>22</x:v>
      </x:c>
      <x:c r="L351" s="2" t="n">
        <x:v>22</x:v>
      </x:c>
      <x:c r="M351" s="2" t="n">
        <x:f>IF(OR(K351="",L351=""),"n.a.",K351-L351)</x:f>
        <x:v>0</x:v>
      </x:c>
    </x:row>
    <x:row r="352" ht="22" customHeight="1">
      <x:c r="A352" s="2" t="str">
        <x:v>MPV</x:v>
      </x:c>
      <x:c r="B352" s="2" t="str">
        <x:v>FY2025</x:v>
      </x:c>
      <x:c r="C352" s="2" t="str">
        <x:v>荣威</x:v>
      </x:c>
      <x:c r="D352" s="8" t="n">
        <x:v>4400</x:v>
      </x:c>
      <x:c r="E352" s="8" t="n">
        <x:v>3992</x:v>
      </x:c>
      <x:c r="F352" s="8" t="n">
        <x:f>E352-D352</x:f>
        <x:v>-408</x:v>
      </x:c>
      <x:c r="G352" s="9" t="n">
        <x:f>IF(D352=0,"n.a.",F352/D352)</x:f>
        <x:v>-0.09272727272727273</x:v>
      </x:c>
      <x:c r="H352" s="9" t="n">
        <x:f>D352/SUMIFS($D$6:$D$449,$A$6:$A$449,A352,$B$6:$B$449,B352)</x:f>
        <x:v>0.004716879998284771</x:v>
      </x:c>
      <x:c r="I352" s="9" t="n">
        <x:f>E352/SUMIFS($E$6:$E$449,$A$6:$A$449,A352,$B$6:$B$449,B352)</x:f>
        <x:v>0.0042502132027038685</x:v>
      </x:c>
      <x:c r="J352" s="10" t="n">
        <x:f>(I352-H352)*100</x:f>
        <x:v>-0.04666667955809025</x:v>
      </x:c>
      <x:c r="K352" s="2" t="n">
        <x:v>23</x:v>
      </x:c>
      <x:c r="L352" s="2" t="n">
        <x:v>23</x:v>
      </x:c>
      <x:c r="M352" s="2" t="n">
        <x:f>IF(OR(K352="",L352=""),"n.a.",K352-L352)</x:f>
        <x:v>0</x:v>
      </x:c>
    </x:row>
    <x:row r="353" ht="22" customHeight="1">
      <x:c r="A353" s="2" t="str">
        <x:v>MPV</x:v>
      </x:c>
      <x:c r="B353" s="2" t="str">
        <x:v>FY2025</x:v>
      </x:c>
      <x:c r="C353" s="2" t="str">
        <x:v>东风风光</x:v>
      </x:c>
      <x:c r="D353" s="8" t="n">
        <x:v>5427</x:v>
      </x:c>
      <x:c r="E353" s="8" t="n">
        <x:v>2087</x:v>
      </x:c>
      <x:c r="F353" s="8" t="n">
        <x:f>E353-D353</x:f>
        <x:v>-3340</x:v>
      </x:c>
      <x:c r="G353" s="9" t="n">
        <x:f>IF(D353=0,"n.a.",F353/D353)</x:f>
        <x:v>-0.6154413119587249</x:v>
      </x:c>
      <x:c r="H353" s="9" t="n">
        <x:f>D353/SUMIFS($D$6:$D$449,$A$6:$A$449,A353,$B$6:$B$449,B353)</x:f>
        <x:v>0.005817842670611694</x:v>
      </x:c>
      <x:c r="I353" s="9" t="n">
        <x:f>E353/SUMIFS($E$6:$E$449,$A$6:$A$449,A353,$B$6:$B$449,B353)</x:f>
        <x:v>0.0022219927239586607</x:v>
      </x:c>
      <x:c r="J353" s="10" t="n">
        <x:f>(I353-H353)*100</x:f>
        <x:v>-0.3595849946653033</x:v>
      </x:c>
      <x:c r="K353" s="2" t="n">
        <x:v>21</x:v>
      </x:c>
      <x:c r="L353" s="2" t="n">
        <x:v>24</x:v>
      </x:c>
      <x:c r="M353" s="2" t="n">
        <x:f>IF(OR(K353="",L353=""),"n.a.",K353-L353)</x:f>
        <x:v>-3</x:v>
      </x:c>
    </x:row>
    <x:row r="354" ht="22" customHeight="1">
      <x:c r="A354" s="2" t="str">
        <x:v>MPV</x:v>
      </x:c>
      <x:c r="B354" s="2" t="str">
        <x:v>FY2025</x:v>
      </x:c>
      <x:c r="C354" s="2" t="str">
        <x:v>起亚</x:v>
      </x:c>
      <x:c r="D354" s="8" t="n">
        <x:v>1840</x:v>
      </x:c>
      <x:c r="E354" s="8" t="n">
        <x:v>1280</x:v>
      </x:c>
      <x:c r="F354" s="8" t="n">
        <x:f>E354-D354</x:f>
        <x:v>-560</x:v>
      </x:c>
      <x:c r="G354" s="9" t="n">
        <x:f>IF(D354=0,"n.a.",F354/D354)</x:f>
        <x:v>-0.30434782608695654</x:v>
      </x:c>
      <x:c r="H354" s="9" t="n">
        <x:f>D354/SUMIFS($D$6:$D$449,$A$6:$A$449,A354,$B$6:$B$449,B354)</x:f>
        <x:v>0.001972513453828177</x:v>
      </x:c>
      <x:c r="I354" s="9" t="n">
        <x:f>E354/SUMIFS($E$6:$E$449,$A$6:$A$449,A354,$B$6:$B$449,B354)</x:f>
        <x:v>0.0013627938124902183</x:v>
      </x:c>
      <x:c r="J354" s="10" t="n">
        <x:f>(I354-H354)*100</x:f>
        <x:v>-0.06097196413379585</x:v>
      </x:c>
      <x:c r="K354" s="2" t="n">
        <x:v>24</x:v>
      </x:c>
      <x:c r="L354" s="2" t="n">
        <x:v>25</x:v>
      </x:c>
      <x:c r="M354" s="2" t="n">
        <x:f>IF(OR(K354="",L354=""),"n.a.",K354-L354)</x:f>
        <x:v>-1</x:v>
      </x:c>
    </x:row>
    <x:row r="355" ht="22" customHeight="1">
      <x:c r="A355" s="2" t="str">
        <x:v>MPV</x:v>
      </x:c>
      <x:c r="B355" s="2" t="str">
        <x:v>FY2025</x:v>
      </x:c>
      <x:c r="C355" s="2" t="str">
        <x:v>睿蓝汽车</x:v>
      </x:c>
      <x:c r="D355" s="8" t="n">
        <x:v>299</x:v>
      </x:c>
      <x:c r="E355" s="8" t="n">
        <x:v>952</x:v>
      </x:c>
      <x:c r="F355" s="8" t="n">
        <x:f>E355-D355</x:f>
        <x:v>653</x:v>
      </x:c>
      <x:c r="G355" s="9" t="n">
        <x:f>IF(D355=0,"n.a.",F355/D355)</x:f>
        <x:v>2.1839464882943145</x:v>
      </x:c>
      <x:c r="H355" s="9" t="n">
        <x:f>D355/SUMIFS($D$6:$D$449,$A$6:$A$449,A355,$B$6:$B$449,B355)</x:f>
        <x:v>0.00032053343624707873</x:v>
      </x:c>
      <x:c r="I355" s="9" t="n">
        <x:f>E355/SUMIFS($E$6:$E$449,$A$6:$A$449,A355,$B$6:$B$449,B355)</x:f>
        <x:v>0.0010135778980395998</x:v>
      </x:c>
      <x:c r="J355" s="10" t="n">
        <x:f>(I355-H355)*100</x:f>
        <x:v>0.0693044461792521</x:v>
      </x:c>
      <x:c r="K355" s="2" t="n">
        <x:v>27</x:v>
      </x:c>
      <x:c r="L355" s="2" t="n">
        <x:v>26</x:v>
      </x:c>
      <x:c r="M355" s="2" t="n">
        <x:f>IF(OR(K355="",L355=""),"n.a.",K355-L355)</x:f>
        <x:v>1</x:v>
      </x:c>
    </x:row>
    <x:row r="356" ht="22" customHeight="1">
      <x:c r="A356" s="2" t="str">
        <x:v>MPV</x:v>
      </x:c>
      <x:c r="B356" s="2" t="str">
        <x:v>FY2025</x:v>
      </x:c>
      <x:c r="C356" s="2" t="str">
        <x:v>沃尔沃</x:v>
      </x:c>
      <x:c r="D356" s="8" t="n">
        <x:v>677</x:v>
      </x:c>
      <x:c r="E356" s="8" t="n">
        <x:v>809</x:v>
      </x:c>
      <x:c r="F356" s="8" t="n">
        <x:f>E356-D356</x:f>
        <x:v>132</x:v>
      </x:c>
      <x:c r="G356" s="9" t="n">
        <x:f>IF(D356=0,"n.a.",F356/D356)</x:f>
        <x:v>0.19497784342688332</x:v>
      </x:c>
      <x:c r="H356" s="9" t="n">
        <x:f>D356/SUMIFS($D$6:$D$449,$A$6:$A$449,A356,$B$6:$B$449,B356)</x:f>
        <x:v>0.0007257563088269978</x:v>
      </x:c>
      <x:c r="I356" s="9" t="n">
        <x:f>E356/SUMIFS($E$6:$E$449,$A$6:$A$449,A356,$B$6:$B$449,B356)</x:f>
        <x:v>0.0008613282768004583</x:v>
      </x:c>
      <x:c r="J356" s="10" t="n">
        <x:f>(I356-H356)*100</x:f>
        <x:v>0.013557196797346053</x:v>
      </x:c>
      <x:c r="K356" s="2" t="n">
        <x:v>26</x:v>
      </x:c>
      <x:c r="L356" s="2" t="n">
        <x:v>27</x:v>
      </x:c>
      <x:c r="M356" s="2" t="n">
        <x:f>IF(OR(K356="",L356=""),"n.a.",K356-L356)</x:f>
        <x:v>-1</x:v>
      </x:c>
    </x:row>
    <x:row r="357" ht="22" customHeight="1">
      <x:c r="A357" s="2" t="str">
        <x:v>MPV</x:v>
      </x:c>
      <x:c r="B357" s="2" t="str">
        <x:v>FY2025</x:v>
      </x:c>
      <x:c r="C357" s="2" t="str">
        <x:v>吉利银河</x:v>
      </x:c>
      <x:c r="D357" s="8" t="n">
        <x:v>0</x:v>
      </x:c>
      <x:c r="E357" s="8" t="n">
        <x:v>243</x:v>
      </x:c>
      <x:c r="F357" s="8" t="n">
        <x:f>E357-D357</x:f>
        <x:v>243</x:v>
      </x:c>
      <x:c r="G357" s="9" t="str">
        <x:f>IF(D357=0,"n.a.",F357/D357)</x:f>
        <x:v>n.a.</x:v>
      </x:c>
      <x:c r="H357" s="9" t="n">
        <x:f>D357/SUMIFS($D$6:$D$449,$A$6:$A$449,A357,$B$6:$B$449,B357)</x:f>
        <x:v>0</x:v>
      </x:c>
      <x:c r="I357" s="9" t="n">
        <x:f>E357/SUMIFS($E$6:$E$449,$A$6:$A$449,A357,$B$6:$B$449,B357)</x:f>
        <x:v>0.00025871788783993986</x:v>
      </x:c>
      <x:c r="J357" s="10" t="n">
        <x:f>(I357-H357)*100</x:f>
        <x:v>0.025871788783993984</x:v>
      </x:c>
      <x:c r="K357" s="2"/>
      <x:c r="L357" s="2" t="n">
        <x:v>28</x:v>
      </x:c>
      <x:c r="M357" s="2" t="str">
        <x:f>IF(OR(K357="",L357=""),"n.a.",K357-L357)</x:f>
        <x:v>n.a.</x:v>
      </x:c>
    </x:row>
    <x:row r="358" ht="22" customHeight="1">
      <x:c r="A358" s="2" t="str">
        <x:v>MPV</x:v>
      </x:c>
      <x:c r="B358" s="2" t="str">
        <x:v>FY2025</x:v>
      </x:c>
      <x:c r="C358" s="2" t="str">
        <x:v>合创汽车</x:v>
      </x:c>
      <x:c r="D358" s="8" t="n">
        <x:v>753</x:v>
      </x:c>
      <x:c r="E358" s="8" t="n">
        <x:v>175</x:v>
      </x:c>
      <x:c r="F358" s="8" t="n">
        <x:f>E358-D358</x:f>
        <x:v>-578</x:v>
      </x:c>
      <x:c r="G358" s="9" t="n">
        <x:f>IF(D358=0,"n.a.",F358/D358)</x:f>
        <x:v>-0.7675962815405046</x:v>
      </x:c>
      <x:c r="H358" s="9" t="n">
        <x:f>D358/SUMIFS($D$6:$D$449,$A$6:$A$449,A358,$B$6:$B$449,B358)</x:f>
        <x:v>0.0008072296906155528</x:v>
      </x:c>
      <x:c r="I358" s="9" t="n">
        <x:f>E358/SUMIFS($E$6:$E$449,$A$6:$A$449,A358,$B$6:$B$449,B358)</x:f>
        <x:v>0.00018631946655139702</x:v>
      </x:c>
      <x:c r="J358" s="10" t="n">
        <x:f>(I358-H358)*100</x:f>
        <x:v>-0.06209102240641558</x:v>
      </x:c>
      <x:c r="K358" s="2" t="n">
        <x:v>25</x:v>
      </x:c>
      <x:c r="L358" s="2" t="n">
        <x:v>29</x:v>
      </x:c>
      <x:c r="M358" s="2" t="n">
        <x:f>IF(OR(K358="",L358=""),"n.a.",K358-L358)</x:f>
        <x:v>-4</x:v>
      </x:c>
    </x:row>
    <x:row r="359" ht="22" customHeight="1">
      <x:c r="A359" s="2" t="str">
        <x:v>MPV</x:v>
      </x:c>
      <x:c r="B359" s="2" t="str">
        <x:v>FY2025</x:v>
      </x:c>
      <x:c r="C359" s="2" t="str">
        <x:v>广汽吉奥</x:v>
      </x:c>
      <x:c r="D359" s="8" t="n">
        <x:v>0</x:v>
      </x:c>
      <x:c r="E359" s="8" t="n">
        <x:v>0</x:v>
      </x:c>
      <x:c r="F359" s="8" t="n">
        <x:f>E359-D359</x:f>
        <x:v>0</x:v>
      </x:c>
      <x:c r="G359" s="9" t="str">
        <x:f>IF(D359=0,"n.a.",F359/D359)</x:f>
        <x:v>n.a.</x:v>
      </x:c>
      <x:c r="H359" s="9" t="n">
        <x:f>D359/SUMIFS($D$6:$D$449,$A$6:$A$449,A359,$B$6:$B$449,B359)</x:f>
        <x:v>0</x:v>
      </x:c>
      <x:c r="I359" s="9" t="n">
        <x:f>E359/SUMIFS($E$6:$E$449,$A$6:$A$449,A359,$B$6:$B$449,B359)</x:f>
        <x:v>0</x:v>
      </x:c>
      <x:c r="J359" s="10" t="n">
        <x:f>(I359-H359)*100</x:f>
        <x:v>0</x:v>
      </x:c>
      <x:c r="K359" s="2"/>
      <x:c r="L359" s="2"/>
      <x:c r="M359" s="2" t="str">
        <x:f>IF(OR(K359="",L359=""),"n.a.",K359-L359)</x:f>
        <x:v>n.a.</x:v>
      </x:c>
    </x:row>
    <x:row r="360" ht="22" customHeight="1">
      <x:c r="A360" s="2" t="str">
        <x:v>MPV</x:v>
      </x:c>
      <x:c r="B360" s="2" t="str">
        <x:v>FY2025</x:v>
      </x:c>
      <x:c r="C360" s="2" t="str">
        <x:v>华颂</x:v>
      </x:c>
      <x:c r="D360" s="8" t="n">
        <x:v>0</x:v>
      </x:c>
      <x:c r="E360" s="8" t="n">
        <x:v>0</x:v>
      </x:c>
      <x:c r="F360" s="8" t="n">
        <x:f>E360-D360</x:f>
        <x:v>0</x:v>
      </x:c>
      <x:c r="G360" s="9" t="str">
        <x:f>IF(D360=0,"n.a.",F360/D360)</x:f>
        <x:v>n.a.</x:v>
      </x:c>
      <x:c r="H360" s="9" t="n">
        <x:f>D360/SUMIFS($D$6:$D$449,$A$6:$A$449,A360,$B$6:$B$449,B360)</x:f>
        <x:v>0</x:v>
      </x:c>
      <x:c r="I360" s="9" t="n">
        <x:f>E360/SUMIFS($E$6:$E$449,$A$6:$A$449,A360,$B$6:$B$449,B360)</x:f>
        <x:v>0</x:v>
      </x:c>
      <x:c r="J360" s="10" t="n">
        <x:f>(I360-H360)*100</x:f>
        <x:v>0</x:v>
      </x:c>
      <x:c r="K360" s="2"/>
      <x:c r="L360" s="2"/>
      <x:c r="M360" s="2" t="str">
        <x:f>IF(OR(K360="",L360=""),"n.a.",K360-L360)</x:f>
        <x:v>n.a.</x:v>
      </x:c>
    </x:row>
    <x:row r="361" ht="22" customHeight="1">
      <x:c r="A361" s="2" t="str">
        <x:v>MPV</x:v>
      </x:c>
      <x:c r="B361" s="2" t="str">
        <x:v>FY2025</x:v>
      </x:c>
      <x:c r="C361" s="2" t="str">
        <x:v>北汽威旺</x:v>
      </x:c>
      <x:c r="D361" s="8" t="n">
        <x:v>0</x:v>
      </x:c>
      <x:c r="E361" s="8" t="n">
        <x:v>0</x:v>
      </x:c>
      <x:c r="F361" s="8" t="n">
        <x:f>E361-D361</x:f>
        <x:v>0</x:v>
      </x:c>
      <x:c r="G361" s="9" t="str">
        <x:f>IF(D361=0,"n.a.",F361/D361)</x:f>
        <x:v>n.a.</x:v>
      </x:c>
      <x:c r="H361" s="9" t="n">
        <x:f>D361/SUMIFS($D$6:$D$449,$A$6:$A$449,A361,$B$6:$B$449,B361)</x:f>
        <x:v>0</x:v>
      </x:c>
      <x:c r="I361" s="9" t="n">
        <x:f>E361/SUMIFS($E$6:$E$449,$A$6:$A$449,A361,$B$6:$B$449,B361)</x:f>
        <x:v>0</x:v>
      </x:c>
      <x:c r="J361" s="10" t="n">
        <x:f>(I361-H361)*100</x:f>
        <x:v>0</x:v>
      </x:c>
      <x:c r="K361" s="2"/>
      <x:c r="L361" s="2"/>
      <x:c r="M361" s="2" t="str">
        <x:f>IF(OR(K361="",L361=""),"n.a.",K361-L361)</x:f>
        <x:v>n.a.</x:v>
      </x:c>
    </x:row>
    <x:row r="362" ht="22" customHeight="1">
      <x:c r="A362" s="2" t="str">
        <x:v>MPV</x:v>
      </x:c>
      <x:c r="B362" s="2" t="str">
        <x:v>FY2025</x:v>
      </x:c>
      <x:c r="C362" s="2" t="str">
        <x:v>北汽昌河</x:v>
      </x:c>
      <x:c r="D362" s="8" t="n">
        <x:v>0</x:v>
      </x:c>
      <x:c r="E362" s="8" t="n">
        <x:v>0</x:v>
      </x:c>
      <x:c r="F362" s="8" t="n">
        <x:f>E362-D362</x:f>
        <x:v>0</x:v>
      </x:c>
      <x:c r="G362" s="9" t="str">
        <x:f>IF(D362=0,"n.a.",F362/D362)</x:f>
        <x:v>n.a.</x:v>
      </x:c>
      <x:c r="H362" s="9" t="n">
        <x:f>D362/SUMIFS($D$6:$D$449,$A$6:$A$449,A362,$B$6:$B$449,B362)</x:f>
        <x:v>0</x:v>
      </x:c>
      <x:c r="I362" s="9" t="n">
        <x:f>E362/SUMIFS($E$6:$E$449,$A$6:$A$449,A362,$B$6:$B$449,B362)</x:f>
        <x:v>0</x:v>
      </x:c>
      <x:c r="J362" s="10" t="n">
        <x:f>(I362-H362)*100</x:f>
        <x:v>0</x:v>
      </x:c>
      <x:c r="K362" s="2"/>
      <x:c r="L362" s="2"/>
      <x:c r="M362" s="2" t="str">
        <x:f>IF(OR(K362="",L362=""),"n.a.",K362-L362)</x:f>
        <x:v>n.a.</x:v>
      </x:c>
    </x:row>
    <x:row r="363" ht="22" customHeight="1">
      <x:c r="A363" s="2" t="str">
        <x:v>MPV</x:v>
      </x:c>
      <x:c r="B363" s="2" t="str">
        <x:v>FY2025</x:v>
      </x:c>
      <x:c r="C363" s="2" t="str">
        <x:v>奇瑞</x:v>
      </x:c>
      <x:c r="D363" s="8" t="n">
        <x:v>0</x:v>
      </x:c>
      <x:c r="E363" s="8" t="n">
        <x:v>0</x:v>
      </x:c>
      <x:c r="F363" s="8" t="n">
        <x:f>E363-D363</x:f>
        <x:v>0</x:v>
      </x:c>
      <x:c r="G363" s="9" t="str">
        <x:f>IF(D363=0,"n.a.",F363/D363)</x:f>
        <x:v>n.a.</x:v>
      </x:c>
      <x:c r="H363" s="9" t="n">
        <x:f>D363/SUMIFS($D$6:$D$449,$A$6:$A$449,A363,$B$6:$B$449,B363)</x:f>
        <x:v>0</x:v>
      </x:c>
      <x:c r="I363" s="9" t="n">
        <x:f>E363/SUMIFS($E$6:$E$449,$A$6:$A$449,A363,$B$6:$B$449,B363)</x:f>
        <x:v>0</x:v>
      </x:c>
      <x:c r="J363" s="10" t="n">
        <x:f>(I363-H363)*100</x:f>
        <x:v>0</x:v>
      </x:c>
      <x:c r="K363" s="2"/>
      <x:c r="L363" s="2"/>
      <x:c r="M363" s="2" t="str">
        <x:f>IF(OR(K363="",L363=""),"n.a.",K363-L363)</x:f>
        <x:v>n.a.</x:v>
      </x:c>
    </x:row>
    <x:row r="364" ht="22" customHeight="1">
      <x:c r="A364" s="2" t="str">
        <x:v>MPV</x:v>
      </x:c>
      <x:c r="B364" s="2" t="str">
        <x:v>FY2025</x:v>
      </x:c>
      <x:c r="C364" s="2" t="str">
        <x:v>启辰</x:v>
      </x:c>
      <x:c r="D364" s="8" t="n">
        <x:v>0</x:v>
      </x:c>
      <x:c r="E364" s="8" t="n">
        <x:v>0</x:v>
      </x:c>
      <x:c r="F364" s="8" t="n">
        <x:f>E364-D364</x:f>
        <x:v>0</x:v>
      </x:c>
      <x:c r="G364" s="9" t="str">
        <x:f>IF(D364=0,"n.a.",F364/D364)</x:f>
        <x:v>n.a.</x:v>
      </x:c>
      <x:c r="H364" s="9" t="n">
        <x:f>D364/SUMIFS($D$6:$D$449,$A$6:$A$449,A364,$B$6:$B$449,B364)</x:f>
        <x:v>0</x:v>
      </x:c>
      <x:c r="I364" s="9" t="n">
        <x:f>E364/SUMIFS($E$6:$E$449,$A$6:$A$449,A364,$B$6:$B$449,B364)</x:f>
        <x:v>0</x:v>
      </x:c>
      <x:c r="J364" s="10" t="n">
        <x:f>(I364-H364)*100</x:f>
        <x:v>0</x:v>
      </x:c>
      <x:c r="K364" s="2"/>
      <x:c r="L364" s="2"/>
      <x:c r="M364" s="2" t="str">
        <x:f>IF(OR(K364="",L364=""),"n.a.",K364-L364)</x:f>
        <x:v>n.a.</x:v>
      </x:c>
    </x:row>
    <x:row r="365" ht="22" customHeight="1">
      <x:c r="A365" s="2" t="str">
        <x:v>MPV</x:v>
      </x:c>
      <x:c r="B365" s="2" t="str">
        <x:v>FY2025</x:v>
      </x:c>
      <x:c r="C365" s="2" t="str">
        <x:v>力帆</x:v>
      </x:c>
      <x:c r="D365" s="8" t="n">
        <x:v>0</x:v>
      </x:c>
      <x:c r="E365" s="8" t="n">
        <x:v>0</x:v>
      </x:c>
      <x:c r="F365" s="8" t="n">
        <x:f>E365-D365</x:f>
        <x:v>0</x:v>
      </x:c>
      <x:c r="G365" s="9" t="str">
        <x:f>IF(D365=0,"n.a.",F365/D365)</x:f>
        <x:v>n.a.</x:v>
      </x:c>
      <x:c r="H365" s="9" t="n">
        <x:f>D365/SUMIFS($D$6:$D$449,$A$6:$A$449,A365,$B$6:$B$449,B365)</x:f>
        <x:v>0</x:v>
      </x:c>
      <x:c r="I365" s="9" t="n">
        <x:f>E365/SUMIFS($E$6:$E$449,$A$6:$A$449,A365,$B$6:$B$449,B365)</x:f>
        <x:v>0</x:v>
      </x:c>
      <x:c r="J365" s="10" t="n">
        <x:f>(I365-H365)*100</x:f>
        <x:v>0</x:v>
      </x:c>
      <x:c r="K365" s="2"/>
      <x:c r="L365" s="2"/>
      <x:c r="M365" s="2" t="str">
        <x:f>IF(OR(K365="",L365=""),"n.a.",K365-L365)</x:f>
        <x:v>n.a.</x:v>
      </x:c>
    </x:row>
    <x:row r="366" ht="22" customHeight="1">
      <x:c r="A366" s="2" t="str">
        <x:v>MPV</x:v>
      </x:c>
      <x:c r="B366" s="2" t="str">
        <x:v>FY2025</x:v>
      </x:c>
      <x:c r="C366" s="2" t="str">
        <x:v>三菱</x:v>
      </x:c>
      <x:c r="D366" s="8" t="n">
        <x:v>0</x:v>
      </x:c>
      <x:c r="E366" s="8" t="n">
        <x:v>0</x:v>
      </x:c>
      <x:c r="F366" s="8" t="n">
        <x:f>E366-D366</x:f>
        <x:v>0</x:v>
      </x:c>
      <x:c r="G366" s="9" t="str">
        <x:f>IF(D366=0,"n.a.",F366/D366)</x:f>
        <x:v>n.a.</x:v>
      </x:c>
      <x:c r="H366" s="9" t="n">
        <x:f>D366/SUMIFS($D$6:$D$449,$A$6:$A$449,A366,$B$6:$B$449,B366)</x:f>
        <x:v>0</x:v>
      </x:c>
      <x:c r="I366" s="9" t="n">
        <x:f>E366/SUMIFS($E$6:$E$449,$A$6:$A$449,A366,$B$6:$B$449,B366)</x:f>
        <x:v>0</x:v>
      </x:c>
      <x:c r="J366" s="10" t="n">
        <x:f>(I366-H366)*100</x:f>
        <x:v>0</x:v>
      </x:c>
      <x:c r="K366" s="2"/>
      <x:c r="L366" s="2"/>
      <x:c r="M366" s="2" t="str">
        <x:f>IF(OR(K366="",L366=""),"n.a.",K366-L366)</x:f>
        <x:v>n.a.</x:v>
      </x:c>
    </x:row>
    <x:row r="367" ht="22" customHeight="1">
      <x:c r="A367" s="2" t="str">
        <x:v>MPV</x:v>
      </x:c>
      <x:c r="B367" s="2" t="str">
        <x:v>FY2025</x:v>
      </x:c>
      <x:c r="C367" s="2" t="str">
        <x:v>东风小康</x:v>
      </x:c>
      <x:c r="D367" s="8" t="n">
        <x:v>0</x:v>
      </x:c>
      <x:c r="E367" s="8" t="n">
        <x:v>0</x:v>
      </x:c>
      <x:c r="F367" s="8" t="n">
        <x:f>E367-D367</x:f>
        <x:v>0</x:v>
      </x:c>
      <x:c r="G367" s="9" t="str">
        <x:f>IF(D367=0,"n.a.",F367/D367)</x:f>
        <x:v>n.a.</x:v>
      </x:c>
      <x:c r="H367" s="9" t="n">
        <x:f>D367/SUMIFS($D$6:$D$449,$A$6:$A$449,A367,$B$6:$B$449,B367)</x:f>
        <x:v>0</x:v>
      </x:c>
      <x:c r="I367" s="9" t="n">
        <x:f>E367/SUMIFS($E$6:$E$449,$A$6:$A$449,A367,$B$6:$B$449,B367)</x:f>
        <x:v>0</x:v>
      </x:c>
      <x:c r="J367" s="10" t="n">
        <x:f>(I367-H367)*100</x:f>
        <x:v>0</x:v>
      </x:c>
      <x:c r="K367" s="2"/>
      <x:c r="L367" s="2"/>
      <x:c r="M367" s="2" t="str">
        <x:f>IF(OR(K367="",L367=""),"n.a.",K367-L367)</x:f>
        <x:v>n.a.</x:v>
      </x:c>
    </x:row>
    <x:row r="368" ht="22" customHeight="1">
      <x:c r="A368" s="2" t="str">
        <x:v>MPV</x:v>
      </x:c>
      <x:c r="B368" s="2" t="str">
        <x:v>FY2025</x:v>
      </x:c>
      <x:c r="C368" s="2" t="str">
        <x:v>SWM斯威汽车</x:v>
      </x:c>
      <x:c r="D368" s="8" t="n">
        <x:v>0</x:v>
      </x:c>
      <x:c r="E368" s="8" t="n">
        <x:v>0</x:v>
      </x:c>
      <x:c r="F368" s="8" t="n">
        <x:f>E368-D368</x:f>
        <x:v>0</x:v>
      </x:c>
      <x:c r="G368" s="9" t="str">
        <x:f>IF(D368=0,"n.a.",F368/D368)</x:f>
        <x:v>n.a.</x:v>
      </x:c>
      <x:c r="H368" s="9" t="n">
        <x:f>D368/SUMIFS($D$6:$D$449,$A$6:$A$449,A368,$B$6:$B$449,B368)</x:f>
        <x:v>0</x:v>
      </x:c>
      <x:c r="I368" s="9" t="n">
        <x:f>E368/SUMIFS($E$6:$E$449,$A$6:$A$449,A368,$B$6:$B$449,B368)</x:f>
        <x:v>0</x:v>
      </x:c>
      <x:c r="J368" s="10" t="n">
        <x:f>(I368-H368)*100</x:f>
        <x:v>0</x:v>
      </x:c>
      <x:c r="K368" s="2"/>
      <x:c r="L368" s="2"/>
      <x:c r="M368" s="2" t="str">
        <x:f>IF(OR(K368="",L368=""),"n.a.",K368-L368)</x:f>
        <x:v>n.a.</x:v>
      </x:c>
    </x:row>
    <x:row r="369" ht="22" customHeight="1">
      <x:c r="A369" s="2" t="str">
        <x:v>MPV</x:v>
      </x:c>
      <x:c r="B369" s="2" t="str">
        <x:v>FY2025</x:v>
      </x:c>
      <x:c r="C369" s="2" t="str">
        <x:v>一汽</x:v>
      </x:c>
      <x:c r="D369" s="8" t="n">
        <x:v>0</x:v>
      </x:c>
      <x:c r="E369" s="8" t="n">
        <x:v>0</x:v>
      </x:c>
      <x:c r="F369" s="8" t="n">
        <x:f>E369-D369</x:f>
        <x:v>0</x:v>
      </x:c>
      <x:c r="G369" s="9" t="str">
        <x:f>IF(D369=0,"n.a.",F369/D369)</x:f>
        <x:v>n.a.</x:v>
      </x:c>
      <x:c r="H369" s="9" t="n">
        <x:f>D369/SUMIFS($D$6:$D$449,$A$6:$A$449,A369,$B$6:$B$449,B369)</x:f>
        <x:v>0</x:v>
      </x:c>
      <x:c r="I369" s="9" t="n">
        <x:f>E369/SUMIFS($E$6:$E$449,$A$6:$A$449,A369,$B$6:$B$449,B369)</x:f>
        <x:v>0</x:v>
      </x:c>
      <x:c r="J369" s="10" t="n">
        <x:f>(I369-H369)*100</x:f>
        <x:v>0</x:v>
      </x:c>
      <x:c r="K369" s="2"/>
      <x:c r="L369" s="2"/>
      <x:c r="M369" s="2" t="str">
        <x:f>IF(OR(K369="",L369=""),"n.a.",K369-L369)</x:f>
        <x:v>n.a.</x:v>
      </x:c>
    </x:row>
    <x:row r="370" ht="22" customHeight="1">
      <x:c r="A370" s="2" t="str">
        <x:v>MPV</x:v>
      </x:c>
      <x:c r="B370" s="2" t="str">
        <x:v>FY2025</x:v>
      </x:c>
      <x:c r="C370" s="2" t="str">
        <x:v>东风</x:v>
      </x:c>
      <x:c r="D370" s="8" t="n">
        <x:v>0</x:v>
      </x:c>
      <x:c r="E370" s="8" t="n">
        <x:v>0</x:v>
      </x:c>
      <x:c r="F370" s="8" t="n">
        <x:f>E370-D370</x:f>
        <x:v>0</x:v>
      </x:c>
      <x:c r="G370" s="9" t="str">
        <x:f>IF(D370=0,"n.a.",F370/D370)</x:f>
        <x:v>n.a.</x:v>
      </x:c>
      <x:c r="H370" s="9" t="n">
        <x:f>D370/SUMIFS($D$6:$D$449,$A$6:$A$449,A370,$B$6:$B$449,B370)</x:f>
        <x:v>0</x:v>
      </x:c>
      <x:c r="I370" s="9" t="n">
        <x:f>E370/SUMIFS($E$6:$E$449,$A$6:$A$449,A370,$B$6:$B$449,B370)</x:f>
        <x:v>0</x:v>
      </x:c>
      <x:c r="J370" s="10" t="n">
        <x:f>(I370-H370)*100</x:f>
        <x:v>0</x:v>
      </x:c>
      <x:c r="K370" s="2"/>
      <x:c r="L370" s="2"/>
      <x:c r="M370" s="2" t="str">
        <x:f>IF(OR(K370="",L370=""),"n.a.",K370-L370)</x:f>
        <x:v>n.a.</x:v>
      </x:c>
    </x:row>
    <x:row r="371" ht="22" customHeight="1">
      <x:c r="A371" s="2" t="str">
        <x:v>MPV</x:v>
      </x:c>
      <x:c r="B371" s="2" t="str">
        <x:v>FY2025</x:v>
      </x:c>
      <x:c r="C371" s="2" t="str">
        <x:v>北汽幻速</x:v>
      </x:c>
      <x:c r="D371" s="8" t="n">
        <x:v>0</x:v>
      </x:c>
      <x:c r="E371" s="8" t="n">
        <x:v>0</x:v>
      </x:c>
      <x:c r="F371" s="8" t="n">
        <x:f>E371-D371</x:f>
        <x:v>0</x:v>
      </x:c>
      <x:c r="G371" s="9" t="str">
        <x:f>IF(D371=0,"n.a.",F371/D371)</x:f>
        <x:v>n.a.</x:v>
      </x:c>
      <x:c r="H371" s="9" t="n">
        <x:f>D371/SUMIFS($D$6:$D$449,$A$6:$A$449,A371,$B$6:$B$449,B371)</x:f>
        <x:v>0</x:v>
      </x:c>
      <x:c r="I371" s="9" t="n">
        <x:f>E371/SUMIFS($E$6:$E$449,$A$6:$A$449,A371,$B$6:$B$449,B371)</x:f>
        <x:v>0</x:v>
      </x:c>
      <x:c r="J371" s="10" t="n">
        <x:f>(I371-H371)*100</x:f>
        <x:v>0</x:v>
      </x:c>
      <x:c r="K371" s="2"/>
      <x:c r="L371" s="2"/>
      <x:c r="M371" s="2" t="str">
        <x:f>IF(OR(K371="",L371=""),"n.a.",K371-L371)</x:f>
        <x:v>n.a.</x:v>
      </x:c>
    </x:row>
    <x:row r="372" ht="22" customHeight="1">
      <x:c r="A372" s="2" t="str">
        <x:v>MPV</x:v>
      </x:c>
      <x:c r="B372" s="2" t="str">
        <x:v>FY2025</x:v>
      </x:c>
      <x:c r="C372" s="2" t="str">
        <x:v>比速汽车</x:v>
      </x:c>
      <x:c r="D372" s="8" t="n">
        <x:v>0</x:v>
      </x:c>
      <x:c r="E372" s="8" t="n">
        <x:v>0</x:v>
      </x:c>
      <x:c r="F372" s="8" t="n">
        <x:f>E372-D372</x:f>
        <x:v>0</x:v>
      </x:c>
      <x:c r="G372" s="9" t="str">
        <x:f>IF(D372=0,"n.a.",F372/D372)</x:f>
        <x:v>n.a.</x:v>
      </x:c>
      <x:c r="H372" s="9" t="n">
        <x:f>D372/SUMIFS($D$6:$D$449,$A$6:$A$449,A372,$B$6:$B$449,B372)</x:f>
        <x:v>0</x:v>
      </x:c>
      <x:c r="I372" s="9" t="n">
        <x:f>E372/SUMIFS($E$6:$E$449,$A$6:$A$449,A372,$B$6:$B$449,B372)</x:f>
        <x:v>0</x:v>
      </x:c>
      <x:c r="J372" s="10" t="n">
        <x:f>(I372-H372)*100</x:f>
        <x:v>0</x:v>
      </x:c>
      <x:c r="K372" s="2"/>
      <x:c r="L372" s="2"/>
      <x:c r="M372" s="2" t="str">
        <x:f>IF(OR(K372="",L372=""),"n.a.",K372-L372)</x:f>
        <x:v>n.a.</x:v>
      </x:c>
    </x:row>
    <x:row r="373" ht="22" customHeight="1">
      <x:c r="A373" s="2" t="str">
        <x:v>MPV</x:v>
      </x:c>
      <x:c r="B373" s="2" t="str">
        <x:v>FY2025</x:v>
      </x:c>
      <x:c r="C373" s="2" t="str">
        <x:v>江淮</x:v>
      </x:c>
      <x:c r="D373" s="8" t="n">
        <x:v>0</x:v>
      </x:c>
      <x:c r="E373" s="8" t="n">
        <x:v>0</x:v>
      </x:c>
      <x:c r="F373" s="8" t="n">
        <x:f>E373-D373</x:f>
        <x:v>0</x:v>
      </x:c>
      <x:c r="G373" s="9" t="str">
        <x:f>IF(D373=0,"n.a.",F373/D373)</x:f>
        <x:v>n.a.</x:v>
      </x:c>
      <x:c r="H373" s="9" t="n">
        <x:f>D373/SUMIFS($D$6:$D$449,$A$6:$A$449,A373,$B$6:$B$449,B373)</x:f>
        <x:v>0</x:v>
      </x:c>
      <x:c r="I373" s="9" t="n">
        <x:f>E373/SUMIFS($E$6:$E$449,$A$6:$A$449,A373,$B$6:$B$449,B373)</x:f>
        <x:v>0</x:v>
      </x:c>
      <x:c r="J373" s="10" t="n">
        <x:f>(I373-H373)*100</x:f>
        <x:v>0</x:v>
      </x:c>
      <x:c r="K373" s="2"/>
      <x:c r="L373" s="2"/>
      <x:c r="M373" s="2" t="str">
        <x:f>IF(OR(K373="",L373=""),"n.a.",K373-L373)</x:f>
        <x:v>n.a.</x:v>
      </x:c>
    </x:row>
    <x:row r="374" ht="22" customHeight="1">
      <x:c r="A374" s="2" t="str">
        <x:v>MPV</x:v>
      </x:c>
      <x:c r="B374" s="2" t="str">
        <x:v>FY2025</x:v>
      </x:c>
      <x:c r="C374" s="2" t="str">
        <x:v>福田</x:v>
      </x:c>
      <x:c r="D374" s="8" t="n">
        <x:v>0</x:v>
      </x:c>
      <x:c r="E374" s="8" t="n">
        <x:v>0</x:v>
      </x:c>
      <x:c r="F374" s="8" t="n">
        <x:f>E374-D374</x:f>
        <x:v>0</x:v>
      </x:c>
      <x:c r="G374" s="9" t="str">
        <x:f>IF(D374=0,"n.a.",F374/D374)</x:f>
        <x:v>n.a.</x:v>
      </x:c>
      <x:c r="H374" s="9" t="n">
        <x:f>D374/SUMIFS($D$6:$D$449,$A$6:$A$449,A374,$B$6:$B$449,B374)</x:f>
        <x:v>0</x:v>
      </x:c>
      <x:c r="I374" s="9" t="n">
        <x:f>E374/SUMIFS($E$6:$E$449,$A$6:$A$449,A374,$B$6:$B$449,B374)</x:f>
        <x:v>0</x:v>
      </x:c>
      <x:c r="J374" s="10" t="n">
        <x:f>(I374-H374)*100</x:f>
        <x:v>0</x:v>
      </x:c>
      <x:c r="K374" s="2"/>
      <x:c r="L374" s="2"/>
      <x:c r="M374" s="2" t="str">
        <x:f>IF(OR(K374="",L374=""),"n.a.",K374-L374)</x:f>
        <x:v>n.a.</x:v>
      </x:c>
    </x:row>
    <x:row r="375" ht="22" customHeight="1">
      <x:c r="A375" s="2" t="str">
        <x:v>MPV</x:v>
      </x:c>
      <x:c r="B375" s="2" t="str">
        <x:v>FY2025</x:v>
      </x:c>
      <x:c r="C375" s="2" t="str">
        <x:v>海马</x:v>
      </x:c>
      <x:c r="D375" s="8" t="n">
        <x:v>0</x:v>
      </x:c>
      <x:c r="E375" s="8" t="n">
        <x:v>0</x:v>
      </x:c>
      <x:c r="F375" s="8" t="n">
        <x:f>E375-D375</x:f>
        <x:v>0</x:v>
      </x:c>
      <x:c r="G375" s="9" t="str">
        <x:f>IF(D375=0,"n.a.",F375/D375)</x:f>
        <x:v>n.a.</x:v>
      </x:c>
      <x:c r="H375" s="9" t="n">
        <x:f>D375/SUMIFS($D$6:$D$449,$A$6:$A$449,A375,$B$6:$B$449,B375)</x:f>
        <x:v>0</x:v>
      </x:c>
      <x:c r="I375" s="9" t="n">
        <x:f>E375/SUMIFS($E$6:$E$449,$A$6:$A$449,A375,$B$6:$B$449,B375)</x:f>
        <x:v>0</x:v>
      </x:c>
      <x:c r="J375" s="10" t="n">
        <x:f>(I375-H375)*100</x:f>
        <x:v>0</x:v>
      </x:c>
      <x:c r="K375" s="2"/>
      <x:c r="L375" s="2"/>
      <x:c r="M375" s="2" t="str">
        <x:f>IF(OR(K375="",L375=""),"n.a.",K375-L375)</x:f>
        <x:v>n.a.</x:v>
      </x:c>
    </x:row>
    <x:row r="376" ht="22" customHeight="1">
      <x:c r="A376" s="2" t="str">
        <x:v>MPV</x:v>
      </x:c>
      <x:c r="B376" s="2" t="str">
        <x:v>FY2025</x:v>
      </x:c>
      <x:c r="C376" s="2" t="str">
        <x:v>汉腾</x:v>
      </x:c>
      <x:c r="D376" s="8" t="n">
        <x:v>0</x:v>
      </x:c>
      <x:c r="E376" s="8" t="n">
        <x:v>0</x:v>
      </x:c>
      <x:c r="F376" s="8" t="n">
        <x:f>E376-D376</x:f>
        <x:v>0</x:v>
      </x:c>
      <x:c r="G376" s="9" t="str">
        <x:f>IF(D376=0,"n.a.",F376/D376)</x:f>
        <x:v>n.a.</x:v>
      </x:c>
      <x:c r="H376" s="9" t="n">
        <x:f>D376/SUMIFS($D$6:$D$449,$A$6:$A$449,A376,$B$6:$B$449,B376)</x:f>
        <x:v>0</x:v>
      </x:c>
      <x:c r="I376" s="9" t="n">
        <x:f>E376/SUMIFS($E$6:$E$449,$A$6:$A$449,A376,$B$6:$B$449,B376)</x:f>
        <x:v>0</x:v>
      </x:c>
      <x:c r="J376" s="10" t="n">
        <x:f>(I376-H376)*100</x:f>
        <x:v>0</x:v>
      </x:c>
      <x:c r="K376" s="2"/>
      <x:c r="L376" s="2"/>
      <x:c r="M376" s="2" t="str">
        <x:f>IF(OR(K376="",L376=""),"n.a.",K376-L376)</x:f>
        <x:v>n.a.</x:v>
      </x:c>
    </x:row>
    <x:row r="377" ht="22" customHeight="1">
      <x:c r="A377" s="2" t="str">
        <x:v>MPV</x:v>
      </x:c>
      <x:c r="B377" s="2" t="str">
        <x:v>FY2025</x:v>
      </x:c>
      <x:c r="C377" s="2" t="str">
        <x:v>日产</x:v>
      </x:c>
      <x:c r="D377" s="8" t="n">
        <x:v>0</x:v>
      </x:c>
      <x:c r="E377" s="8" t="n">
        <x:v>0</x:v>
      </x:c>
      <x:c r="F377" s="8" t="n">
        <x:f>E377-D377</x:f>
        <x:v>0</x:v>
      </x:c>
      <x:c r="G377" s="9" t="str">
        <x:f>IF(D377=0,"n.a.",F377/D377)</x:f>
        <x:v>n.a.</x:v>
      </x:c>
      <x:c r="H377" s="9" t="n">
        <x:f>D377/SUMIFS($D$6:$D$449,$A$6:$A$449,A377,$B$6:$B$449,B377)</x:f>
        <x:v>0</x:v>
      </x:c>
      <x:c r="I377" s="9" t="n">
        <x:f>E377/SUMIFS($E$6:$E$449,$A$6:$A$449,A377,$B$6:$B$449,B377)</x:f>
        <x:v>0</x:v>
      </x:c>
      <x:c r="J377" s="10" t="n">
        <x:f>(I377-H377)*100</x:f>
        <x:v>0</x:v>
      </x:c>
      <x:c r="K377" s="2"/>
      <x:c r="L377" s="2"/>
      <x:c r="M377" s="2" t="str">
        <x:f>IF(OR(K377="",L377=""),"n.a.",K377-L377)</x:f>
        <x:v>n.a.</x:v>
      </x:c>
    </x:row>
    <x:row r="378" ht="22" customHeight="1">
      <x:c r="A378" s="2" t="str">
        <x:v>MPV</x:v>
      </x:c>
      <x:c r="B378" s="2" t="str">
        <x:v>FY2025</x:v>
      </x:c>
      <x:c r="C378" s="2" t="str">
        <x:v>开瑞</x:v>
      </x:c>
      <x:c r="D378" s="8" t="n">
        <x:v>0</x:v>
      </x:c>
      <x:c r="E378" s="8" t="n">
        <x:v>0</x:v>
      </x:c>
      <x:c r="F378" s="8" t="n">
        <x:f>E378-D378</x:f>
        <x:v>0</x:v>
      </x:c>
      <x:c r="G378" s="9" t="str">
        <x:f>IF(D378=0,"n.a.",F378/D378)</x:f>
        <x:v>n.a.</x:v>
      </x:c>
      <x:c r="H378" s="9" t="n">
        <x:f>D378/SUMIFS($D$6:$D$449,$A$6:$A$449,A378,$B$6:$B$449,B378)</x:f>
        <x:v>0</x:v>
      </x:c>
      <x:c r="I378" s="9" t="n">
        <x:f>E378/SUMIFS($E$6:$E$449,$A$6:$A$449,A378,$B$6:$B$449,B378)</x:f>
        <x:v>0</x:v>
      </x:c>
      <x:c r="J378" s="10" t="n">
        <x:f>(I378-H378)*100</x:f>
        <x:v>0</x:v>
      </x:c>
      <x:c r="K378" s="2"/>
      <x:c r="L378" s="2"/>
      <x:c r="M378" s="2" t="str">
        <x:f>IF(OR(K378="",L378=""),"n.a.",K378-L378)</x:f>
        <x:v>n.a.</x:v>
      </x:c>
    </x:row>
    <x:row r="379" ht="22" customHeight="1">
      <x:c r="A379" s="2" t="str">
        <x:v>MPV</x:v>
      </x:c>
      <x:c r="B379" s="2" t="str">
        <x:v>FY2025</x:v>
      </x:c>
      <x:c r="C379" s="2" t="str">
        <x:v>野马汽车</x:v>
      </x:c>
      <x:c r="D379" s="8" t="n">
        <x:v>0</x:v>
      </x:c>
      <x:c r="E379" s="8" t="n">
        <x:v>0</x:v>
      </x:c>
      <x:c r="F379" s="8" t="n">
        <x:f>E379-D379</x:f>
        <x:v>0</x:v>
      </x:c>
      <x:c r="G379" s="9" t="str">
        <x:f>IF(D379=0,"n.a.",F379/D379)</x:f>
        <x:v>n.a.</x:v>
      </x:c>
      <x:c r="H379" s="9" t="n">
        <x:f>D379/SUMIFS($D$6:$D$449,$A$6:$A$449,A379,$B$6:$B$449,B379)</x:f>
        <x:v>0</x:v>
      </x:c>
      <x:c r="I379" s="9" t="n">
        <x:f>E379/SUMIFS($E$6:$E$449,$A$6:$A$449,A379,$B$6:$B$449,B379)</x:f>
        <x:v>0</x:v>
      </x:c>
      <x:c r="J379" s="10" t="n">
        <x:f>(I379-H379)*100</x:f>
        <x:v>0</x:v>
      </x:c>
      <x:c r="K379" s="2"/>
      <x:c r="L379" s="2"/>
      <x:c r="M379" s="2" t="str">
        <x:f>IF(OR(K379="",L379=""),"n.a.",K379-L379)</x:f>
        <x:v>n.a.</x:v>
      </x:c>
    </x:row>
    <x:row r="380" ht="22" customHeight="1">
      <x:c r="A380" s="2" t="str">
        <x:v>MPV</x:v>
      </x:c>
      <x:c r="B380" s="2" t="str">
        <x:v>FY2025</x:v>
      </x:c>
      <x:c r="C380" s="2" t="str">
        <x:v>英致</x:v>
      </x:c>
      <x:c r="D380" s="8" t="n">
        <x:v>0</x:v>
      </x:c>
      <x:c r="E380" s="8" t="n">
        <x:v>0</x:v>
      </x:c>
      <x:c r="F380" s="8" t="n">
        <x:f>E380-D380</x:f>
        <x:v>0</x:v>
      </x:c>
      <x:c r="G380" s="9" t="str">
        <x:f>IF(D380=0,"n.a.",F380/D380)</x:f>
        <x:v>n.a.</x:v>
      </x:c>
      <x:c r="H380" s="9" t="n">
        <x:f>D380/SUMIFS($D$6:$D$449,$A$6:$A$449,A380,$B$6:$B$449,B380)</x:f>
        <x:v>0</x:v>
      </x:c>
      <x:c r="I380" s="9" t="n">
        <x:f>E380/SUMIFS($E$6:$E$449,$A$6:$A$449,A380,$B$6:$B$449,B380)</x:f>
        <x:v>0</x:v>
      </x:c>
      <x:c r="J380" s="10" t="n">
        <x:f>(I380-H380)*100</x:f>
        <x:v>0</x:v>
      </x:c>
      <x:c r="K380" s="2"/>
      <x:c r="L380" s="2"/>
      <x:c r="M380" s="2" t="str">
        <x:f>IF(OR(K380="",L380=""),"n.a.",K380-L380)</x:f>
        <x:v>n.a.</x:v>
      </x:c>
    </x:row>
    <x:row r="381" ht="22" customHeight="1">
      <x:c r="A381" s="2" t="str">
        <x:v>MPV</x:v>
      </x:c>
      <x:c r="B381" s="2" t="str">
        <x:v>FY2025</x:v>
      </x:c>
      <x:c r="C381" s="2" t="str">
        <x:v>纳智捷</x:v>
      </x:c>
      <x:c r="D381" s="8" t="n">
        <x:v>0</x:v>
      </x:c>
      <x:c r="E381" s="8" t="n">
        <x:v>0</x:v>
      </x:c>
      <x:c r="F381" s="8" t="n">
        <x:f>E381-D381</x:f>
        <x:v>0</x:v>
      </x:c>
      <x:c r="G381" s="9" t="str">
        <x:f>IF(D381=0,"n.a.",F381/D381)</x:f>
        <x:v>n.a.</x:v>
      </x:c>
      <x:c r="H381" s="9" t="n">
        <x:f>D381/SUMIFS($D$6:$D$449,$A$6:$A$449,A381,$B$6:$B$449,B381)</x:f>
        <x:v>0</x:v>
      </x:c>
      <x:c r="I381" s="9" t="n">
        <x:f>E381/SUMIFS($E$6:$E$449,$A$6:$A$449,A381,$B$6:$B$449,B381)</x:f>
        <x:v>0</x:v>
      </x:c>
      <x:c r="J381" s="10" t="n">
        <x:f>(I381-H381)*100</x:f>
        <x:v>0</x:v>
      </x:c>
      <x:c r="K381" s="2"/>
      <x:c r="L381" s="2"/>
      <x:c r="M381" s="2" t="str">
        <x:f>IF(OR(K381="",L381=""),"n.a.",K381-L381)</x:f>
        <x:v>n.a.</x:v>
      </x:c>
    </x:row>
    <x:row r="382" ht="22" customHeight="1">
      <x:c r="A382" s="2" t="str">
        <x:v>MPV</x:v>
      </x:c>
      <x:c r="B382" s="2" t="str">
        <x:v>FY2025</x:v>
      </x:c>
      <x:c r="C382" s="2" t="str">
        <x:v>长安</x:v>
      </x:c>
      <x:c r="D382" s="8" t="n">
        <x:v>0</x:v>
      </x:c>
      <x:c r="E382" s="8" t="n">
        <x:v>0</x:v>
      </x:c>
      <x:c r="F382" s="8" t="n">
        <x:f>E382-D382</x:f>
        <x:v>0</x:v>
      </x:c>
      <x:c r="G382" s="9" t="str">
        <x:f>IF(D382=0,"n.a.",F382/D382)</x:f>
        <x:v>n.a.</x:v>
      </x:c>
      <x:c r="H382" s="9" t="n">
        <x:f>D382/SUMIFS($D$6:$D$449,$A$6:$A$449,A382,$B$6:$B$449,B382)</x:f>
        <x:v>0</x:v>
      </x:c>
      <x:c r="I382" s="9" t="n">
        <x:f>E382/SUMIFS($E$6:$E$449,$A$6:$A$449,A382,$B$6:$B$449,B382)</x:f>
        <x:v>0</x:v>
      </x:c>
      <x:c r="J382" s="10" t="n">
        <x:f>(I382-H382)*100</x:f>
        <x:v>0</x:v>
      </x:c>
      <x:c r="K382" s="2"/>
      <x:c r="L382" s="2"/>
      <x:c r="M382" s="2" t="str">
        <x:f>IF(OR(K382="",L382=""),"n.a.",K382-L382)</x:f>
        <x:v>n.a.</x:v>
      </x:c>
    </x:row>
    <x:row r="383" ht="22" customHeight="1">
      <x:c r="A383" s="2" t="str">
        <x:v>MPV</x:v>
      </x:c>
      <x:c r="B383" s="2" t="str">
        <x:v>FY2025</x:v>
      </x:c>
      <x:c r="C383" s="2" t="str">
        <x:v>金杯</x:v>
      </x:c>
      <x:c r="D383" s="8" t="n">
        <x:v>0</x:v>
      </x:c>
      <x:c r="E383" s="8" t="n">
        <x:v>0</x:v>
      </x:c>
      <x:c r="F383" s="8" t="n">
        <x:f>E383-D383</x:f>
        <x:v>0</x:v>
      </x:c>
      <x:c r="G383" s="9" t="str">
        <x:f>IF(D383=0,"n.a.",F383/D383)</x:f>
        <x:v>n.a.</x:v>
      </x:c>
      <x:c r="H383" s="9" t="n">
        <x:f>D383/SUMIFS($D$6:$D$449,$A$6:$A$449,A383,$B$6:$B$449,B383)</x:f>
        <x:v>0</x:v>
      </x:c>
      <x:c r="I383" s="9" t="n">
        <x:f>E383/SUMIFS($E$6:$E$449,$A$6:$A$449,A383,$B$6:$B$449,B383)</x:f>
        <x:v>0</x:v>
      </x:c>
      <x:c r="J383" s="10" t="n">
        <x:f>(I383-H383)*100</x:f>
        <x:v>0</x:v>
      </x:c>
      <x:c r="K383" s="2"/>
      <x:c r="L383" s="2"/>
      <x:c r="M383" s="2" t="str">
        <x:f>IF(OR(K383="",L383=""),"n.a.",K383-L383)</x:f>
        <x:v>n.a.</x:v>
      </x:c>
    </x:row>
    <x:row r="384" ht="22" customHeight="1">
      <x:c r="A384" s="2" t="str">
        <x:v>MPV</x:v>
      </x:c>
      <x:c r="B384" s="2" t="str">
        <x:v>FY2025</x:v>
      </x:c>
      <x:c r="C384" s="2" t="str">
        <x:v>陆地方舟</x:v>
      </x:c>
      <x:c r="D384" s="8" t="n">
        <x:v>0</x:v>
      </x:c>
      <x:c r="E384" s="8" t="n">
        <x:v>0</x:v>
      </x:c>
      <x:c r="F384" s="8" t="n">
        <x:f>E384-D384</x:f>
        <x:v>0</x:v>
      </x:c>
      <x:c r="G384" s="9" t="str">
        <x:f>IF(D384=0,"n.a.",F384/D384)</x:f>
        <x:v>n.a.</x:v>
      </x:c>
      <x:c r="H384" s="9" t="n">
        <x:f>D384/SUMIFS($D$6:$D$449,$A$6:$A$449,A384,$B$6:$B$449,B384)</x:f>
        <x:v>0</x:v>
      </x:c>
      <x:c r="I384" s="9" t="n">
        <x:f>E384/SUMIFS($E$6:$E$449,$A$6:$A$449,A384,$B$6:$B$449,B384)</x:f>
        <x:v>0</x:v>
      </x:c>
      <x:c r="J384" s="10" t="n">
        <x:f>(I384-H384)*100</x:f>
        <x:v>0</x:v>
      </x:c>
      <x:c r="K384" s="2"/>
      <x:c r="L384" s="2"/>
      <x:c r="M384" s="2" t="str">
        <x:f>IF(OR(K384="",L384=""),"n.a.",K384-L384)</x:f>
        <x:v>n.a.</x:v>
      </x:c>
    </x:row>
    <x:row r="385" ht="22" customHeight="1">
      <x:c r="A385" s="2" t="str">
        <x:v>MPV</x:v>
      </x:c>
      <x:c r="B385" s="2" t="str">
        <x:v>FY2025</x:v>
      </x:c>
      <x:c r="C385" s="2" t="str">
        <x:v>长安欧尚</x:v>
      </x:c>
      <x:c r="D385" s="8" t="n">
        <x:v>0</x:v>
      </x:c>
      <x:c r="E385" s="8" t="n">
        <x:v>0</x:v>
      </x:c>
      <x:c r="F385" s="8" t="n">
        <x:f>E385-D385</x:f>
        <x:v>0</x:v>
      </x:c>
      <x:c r="G385" s="9" t="str">
        <x:f>IF(D385=0,"n.a.",F385/D385)</x:f>
        <x:v>n.a.</x:v>
      </x:c>
      <x:c r="H385" s="9" t="n">
        <x:f>D385/SUMIFS($D$6:$D$449,$A$6:$A$449,A385,$B$6:$B$449,B385)</x:f>
        <x:v>0</x:v>
      </x:c>
      <x:c r="I385" s="9" t="n">
        <x:f>E385/SUMIFS($E$6:$E$449,$A$6:$A$449,A385,$B$6:$B$449,B385)</x:f>
        <x:v>0</x:v>
      </x:c>
      <x:c r="J385" s="10" t="n">
        <x:f>(I385-H385)*100</x:f>
        <x:v>0</x:v>
      </x:c>
      <x:c r="K385" s="2"/>
      <x:c r="L385" s="2"/>
      <x:c r="M385" s="2" t="str">
        <x:f>IF(OR(K385="",L385=""),"n.a.",K385-L385)</x:f>
        <x:v>n.a.</x:v>
      </x:c>
    </x:row>
    <x:row r="386" ht="22" customHeight="1">
      <x:c r="A386" s="2" t="str">
        <x:v>MPV</x:v>
      </x:c>
      <x:c r="B386" s="2" t="str">
        <x:v>FY2025</x:v>
      </x:c>
      <x:c r="C386" s="2" t="str">
        <x:v>陆风</x:v>
      </x:c>
      <x:c r="D386" s="8" t="n">
        <x:v>0</x:v>
      </x:c>
      <x:c r="E386" s="8" t="n">
        <x:v>0</x:v>
      </x:c>
      <x:c r="F386" s="8" t="n">
        <x:f>E386-D386</x:f>
        <x:v>0</x:v>
      </x:c>
      <x:c r="G386" s="9" t="str">
        <x:f>IF(D386=0,"n.a.",F386/D386)</x:f>
        <x:v>n.a.</x:v>
      </x:c>
      <x:c r="H386" s="9" t="n">
        <x:f>D386/SUMIFS($D$6:$D$449,$A$6:$A$449,A386,$B$6:$B$449,B386)</x:f>
        <x:v>0</x:v>
      </x:c>
      <x:c r="I386" s="9" t="n">
        <x:f>E386/SUMIFS($E$6:$E$449,$A$6:$A$449,A386,$B$6:$B$449,B386)</x:f>
        <x:v>0</x:v>
      </x:c>
      <x:c r="J386" s="10" t="n">
        <x:f>(I386-H386)*100</x:f>
        <x:v>0</x:v>
      </x:c>
      <x:c r="K386" s="2"/>
      <x:c r="L386" s="2"/>
      <x:c r="M386" s="2" t="str">
        <x:f>IF(OR(K386="",L386=""),"n.a.",K386-L386)</x:f>
        <x:v>n.a.</x:v>
      </x:c>
    </x:row>
    <x:row r="387" ht="22" customHeight="1">
      <x:c r="A387" s="2" t="str">
        <x:v>MPV</x:v>
      </x:c>
      <x:c r="B387" s="2" t="str">
        <x:v>FY2025</x:v>
      </x:c>
      <x:c r="C387" s="2" t="str">
        <x:v>零跑汽车</x:v>
      </x:c>
      <x:c r="D387" s="8" t="n">
        <x:v>0</x:v>
      </x:c>
      <x:c r="E387" s="8" t="n">
        <x:v>0</x:v>
      </x:c>
      <x:c r="F387" s="8" t="n">
        <x:f>E387-D387</x:f>
        <x:v>0</x:v>
      </x:c>
      <x:c r="G387" s="9" t="str">
        <x:f>IF(D387=0,"n.a.",F387/D387)</x:f>
        <x:v>n.a.</x:v>
      </x:c>
      <x:c r="H387" s="9" t="n">
        <x:f>D387/SUMIFS($D$6:$D$449,$A$6:$A$449,A387,$B$6:$B$449,B387)</x:f>
        <x:v>0</x:v>
      </x:c>
      <x:c r="I387" s="9" t="n">
        <x:f>E387/SUMIFS($E$6:$E$449,$A$6:$A$449,A387,$B$6:$B$449,B387)</x:f>
        <x:v>0</x:v>
      </x:c>
      <x:c r="J387" s="10" t="n">
        <x:f>(I387-H387)*100</x:f>
        <x:v>0</x:v>
      </x:c>
      <x:c r="K387" s="2"/>
      <x:c r="L387" s="2"/>
      <x:c r="M387" s="2" t="str">
        <x:f>IF(OR(K387="",L387=""),"n.a.",K387-L387)</x:f>
        <x:v>n.a.</x:v>
      </x:c>
    </x:row>
    <x:row r="388" ht="22" customHeight="1">
      <x:c r="A388" s="2" t="str">
        <x:v>MPV</x:v>
      </x:c>
      <x:c r="B388" s="2" t="str">
        <x:v>FY2025</x:v>
      </x:c>
      <x:c r="C388" s="2" t="str">
        <x:v>马自达</x:v>
      </x:c>
      <x:c r="D388" s="8" t="n">
        <x:v>0</x:v>
      </x:c>
      <x:c r="E388" s="8" t="n">
        <x:v>0</x:v>
      </x:c>
      <x:c r="F388" s="8" t="n">
        <x:f>E388-D388</x:f>
        <x:v>0</x:v>
      </x:c>
      <x:c r="G388" s="9" t="str">
        <x:f>IF(D388=0,"n.a.",F388/D388)</x:f>
        <x:v>n.a.</x:v>
      </x:c>
      <x:c r="H388" s="9" t="n">
        <x:f>D388/SUMIFS($D$6:$D$449,$A$6:$A$449,A388,$B$6:$B$449,B388)</x:f>
        <x:v>0</x:v>
      </x:c>
      <x:c r="I388" s="9" t="n">
        <x:f>E388/SUMIFS($E$6:$E$449,$A$6:$A$449,A388,$B$6:$B$449,B388)</x:f>
        <x:v>0</x:v>
      </x:c>
      <x:c r="J388" s="10" t="n">
        <x:f>(I388-H388)*100</x:f>
        <x:v>0</x:v>
      </x:c>
      <x:c r="K388" s="2"/>
      <x:c r="L388" s="2"/>
      <x:c r="M388" s="2" t="str">
        <x:f>IF(OR(K388="",L388=""),"n.a.",K388-L388)</x:f>
        <x:v>n.a.</x:v>
      </x:c>
    </x:row>
    <x:row r="389" ht="22" customHeight="1">
      <x:c r="A389" s="2" t="str">
        <x:v>MPV</x:v>
      </x:c>
      <x:c r="B389" s="2" t="str">
        <x:v>FY2025</x:v>
      </x:c>
      <x:c r="C389" s="2" t="str">
        <x:v>鸿蒙智行</x:v>
      </x:c>
      <x:c r="D389" s="8" t="n">
        <x:v>0</x:v>
      </x:c>
      <x:c r="E389" s="8" t="n">
        <x:v>0</x:v>
      </x:c>
      <x:c r="F389" s="8" t="n">
        <x:f>E389-D389</x:f>
        <x:v>0</x:v>
      </x:c>
      <x:c r="G389" s="9" t="str">
        <x:f>IF(D389=0,"n.a.",F389/D389)</x:f>
        <x:v>n.a.</x:v>
      </x:c>
      <x:c r="H389" s="9" t="n">
        <x:f>D389/SUMIFS($D$6:$D$449,$A$6:$A$449,A389,$B$6:$B$449,B389)</x:f>
        <x:v>0</x:v>
      </x:c>
      <x:c r="I389" s="9" t="n">
        <x:f>E389/SUMIFS($E$6:$E$449,$A$6:$A$449,A389,$B$6:$B$449,B389)</x:f>
        <x:v>0</x:v>
      </x:c>
      <x:c r="J389" s="10" t="n">
        <x:f>(I389-H389)*100</x:f>
        <x:v>0</x:v>
      </x:c>
      <x:c r="K389" s="2"/>
      <x:c r="L389" s="2"/>
      <x:c r="M389" s="2" t="str">
        <x:f>IF(OR(K389="",L389=""),"n.a.",K389-L389)</x:f>
        <x:v>n.a.</x:v>
      </x:c>
    </x:row>
    <x:row r="390" ht="22" customHeight="1">
      <x:c r="A390" s="2" t="str">
        <x:v>MPV</x:v>
      </x:c>
      <x:c r="B390" s="2" t="str">
        <x:v>H12026</x:v>
      </x:c>
      <x:c r="C390" s="2" t="str">
        <x:v>丰田</x:v>
      </x:c>
      <x:c r="D390" s="8" t="n">
        <x:v>79098</x:v>
      </x:c>
      <x:c r="E390" s="8" t="n">
        <x:v>60082</x:v>
      </x:c>
      <x:c r="F390" s="8" t="n">
        <x:f>E390-D390</x:f>
        <x:v>-19016</x:v>
      </x:c>
      <x:c r="G390" s="9" t="n">
        <x:f>IF(D390=0,"n.a.",F390/D390)</x:f>
        <x:v>-0.24041062985157652</x:v>
      </x:c>
      <x:c r="H390" s="9" t="n">
        <x:f>D390/SUMIFS($D$6:$D$449,$A$6:$A$449,A390,$B$6:$B$449,B390)</x:f>
        <x:v>0.1777067831338294</x:v>
      </x:c>
      <x:c r="I390" s="9" t="n">
        <x:f>E390/SUMIFS($E$6:$E$449,$A$6:$A$449,A390,$B$6:$B$449,B390)</x:f>
        <x:v>0.15797749263777872</x:v>
      </x:c>
      <x:c r="J390" s="10" t="n">
        <x:f>(I390-H390)*100</x:f>
        <x:v>-1.9729290496050682</x:v>
      </x:c>
      <x:c r="K390" s="2" t="n">
        <x:v>1</x:v>
      </x:c>
      <x:c r="L390" s="2" t="n">
        <x:v>1</x:v>
      </x:c>
      <x:c r="M390" s="2" t="n">
        <x:f>IF(OR(K390="",L390=""),"n.a.",K390-L390)</x:f>
        <x:v>0</x:v>
      </x:c>
    </x:row>
    <x:row r="391" ht="22" customHeight="1">
      <x:c r="A391" s="2" t="str">
        <x:v>MPV</x:v>
      </x:c>
      <x:c r="B391" s="2" t="str">
        <x:v>H12026</x:v>
      </x:c>
      <x:c r="C391" s="2" t="str">
        <x:v>广汽传祺</x:v>
      </x:c>
      <x:c r="D391" s="8" t="n">
        <x:v>51405</x:v>
      </x:c>
      <x:c r="E391" s="8" t="n">
        <x:v>50023</x:v>
      </x:c>
      <x:c r="F391" s="8" t="n">
        <x:f>E391-D391</x:f>
        <x:v>-1382</x:v>
      </x:c>
      <x:c r="G391" s="9" t="n">
        <x:f>IF(D391=0,"n.a.",F391/D391)</x:f>
        <x:v>-0.026884544305028693</x:v>
      </x:c>
      <x:c r="H391" s="9" t="n">
        <x:f>D391/SUMIFS($D$6:$D$449,$A$6:$A$449,A391,$B$6:$B$449,B391)</x:f>
        <x:v>0.11548986304324382</x:v>
      </x:c>
      <x:c r="I391" s="9" t="n">
        <x:f>E391/SUMIFS($E$6:$E$449,$A$6:$A$449,A391,$B$6:$B$449,B391)</x:f>
        <x:v>0.1315287126630206</x:v>
      </x:c>
      <x:c r="J391" s="10" t="n">
        <x:f>(I391-H391)*100</x:f>
        <x:v>1.6038849619776778</x:v>
      </x:c>
      <x:c r="K391" s="2" t="n">
        <x:v>4</x:v>
      </x:c>
      <x:c r="L391" s="2" t="n">
        <x:v>2</x:v>
      </x:c>
      <x:c r="M391" s="2" t="n">
        <x:f>IF(OR(K391="",L391=""),"n.a.",K391-L391)</x:f>
        <x:v>2</x:v>
      </x:c>
    </x:row>
    <x:row r="392" ht="22" customHeight="1">
      <x:c r="A392" s="2" t="str">
        <x:v>MPV</x:v>
      </x:c>
      <x:c r="B392" s="2" t="str">
        <x:v>H12026</x:v>
      </x:c>
      <x:c r="C392" s="2" t="str">
        <x:v>别克</x:v>
      </x:c>
      <x:c r="D392" s="8" t="n">
        <x:v>57785</x:v>
      </x:c>
      <x:c r="E392" s="8" t="n">
        <x:v>47774</x:v>
      </x:c>
      <x:c r="F392" s="8" t="n">
        <x:f>E392-D392</x:f>
        <x:v>-10011</x:v>
      </x:c>
      <x:c r="G392" s="9" t="n">
        <x:f>IF(D392=0,"n.a.",F392/D392)</x:f>
        <x:v>-0.17324565198580946</x:v>
      </x:c>
      <x:c r="H392" s="9" t="n">
        <x:f>D392/SUMIFS($D$6:$D$449,$A$6:$A$449,A392,$B$6:$B$449,B392)</x:f>
        <x:v>0.12982359178978395</x:v>
      </x:c>
      <x:c r="I392" s="9" t="n">
        <x:f>E392/SUMIFS($E$6:$E$449,$A$6:$A$449,A392,$B$6:$B$449,B392)</x:f>
        <x:v>0.12561527135044173</x:v>
      </x:c>
      <x:c r="J392" s="10" t="n">
        <x:f>(I392-H392)*100</x:f>
        <x:v>-0.4208320439342217</x:v>
      </x:c>
      <x:c r="K392" s="2" t="n">
        <x:v>2</x:v>
      </x:c>
      <x:c r="L392" s="2" t="n">
        <x:v>3</x:v>
      </x:c>
      <x:c r="M392" s="2" t="n">
        <x:f>IF(OR(K392="",L392=""),"n.a.",K392-L392)</x:f>
        <x:v>-1</x:v>
      </x:c>
    </x:row>
    <x:row r="393" ht="22" customHeight="1">
      <x:c r="A393" s="2" t="str">
        <x:v>MPV</x:v>
      </x:c>
      <x:c r="B393" s="2" t="str">
        <x:v>H12026</x:v>
      </x:c>
      <x:c r="C393" s="2" t="str">
        <x:v>五菱</x:v>
      </x:c>
      <x:c r="D393" s="8" t="n">
        <x:v>14596</x:v>
      </x:c>
      <x:c r="E393" s="8" t="n">
        <x:v>40031</x:v>
      </x:c>
      <x:c r="F393" s="8" t="n">
        <x:f>E393-D393</x:f>
        <x:v>25435</x:v>
      </x:c>
      <x:c r="G393" s="9" t="n">
        <x:f>IF(D393=0,"n.a.",F393/D393)</x:f>
        <x:v>1.742600712523979</x:v>
      </x:c>
      <x:c r="H393" s="9" t="n">
        <x:f>D393/SUMIFS($D$6:$D$449,$A$6:$A$449,A393,$B$6:$B$449,B393)</x:f>
        <x:v>0.032792336173119094</x:v>
      </x:c>
      <x:c r="I393" s="9" t="n">
        <x:f>E393/SUMIFS($E$6:$E$449,$A$6:$A$449,A393,$B$6:$B$449,B393)</x:f>
        <x:v>0.1052561001262095</x:v>
      </x:c>
      <x:c r="J393" s="10" t="n">
        <x:f>(I393-H393)*100</x:f>
        <x:v>7.246376395309041</x:v>
      </x:c>
      <x:c r="K393" s="2" t="n">
        <x:v>8</x:v>
      </x:c>
      <x:c r="L393" s="2" t="n">
        <x:v>4</x:v>
      </x:c>
      <x:c r="M393" s="2" t="n">
        <x:f>IF(OR(K393="",L393=""),"n.a.",K393-L393)</x:f>
        <x:v>4</x:v>
      </x:c>
    </x:row>
    <x:row r="394" ht="22" customHeight="1">
      <x:c r="A394" s="2" t="str">
        <x:v>MPV</x:v>
      </x:c>
      <x:c r="B394" s="2" t="str">
        <x:v>H12026</x:v>
      </x:c>
      <x:c r="C394" s="2" t="str">
        <x:v>魏牌</x:v>
      </x:c>
      <x:c r="D394" s="8" t="n">
        <x:v>9623</x:v>
      </x:c>
      <x:c r="E394" s="8" t="n">
        <x:v>34227</x:v>
      </x:c>
      <x:c r="F394" s="8" t="n">
        <x:f>E394-D394</x:f>
        <x:v>24604</x:v>
      </x:c>
      <x:c r="G394" s="9" t="n">
        <x:f>IF(D394=0,"n.a.",F394/D394)</x:f>
        <x:v>2.5567910215109633</x:v>
      </x:c>
      <x:c r="H394" s="9" t="n">
        <x:f>D394/SUMIFS($D$6:$D$449,$A$6:$A$449,A394,$B$6:$B$449,B394)</x:f>
        <x:v>0.02161966641504008</x:v>
      </x:c>
      <x:c r="I394" s="9" t="n">
        <x:f>E394/SUMIFS($E$6:$E$449,$A$6:$A$449,A394,$B$6:$B$449,B394)</x:f>
        <x:v>0.08999526714345814</x:v>
      </x:c>
      <x:c r="J394" s="10" t="n">
        <x:f>(I394-H394)*100</x:f>
        <x:v>6.837560072841805</x:v>
      </x:c>
      <x:c r="K394" s="2" t="n">
        <x:v>12</x:v>
      </x:c>
      <x:c r="L394" s="2" t="n">
        <x:v>5</x:v>
      </x:c>
      <x:c r="M394" s="2" t="n">
        <x:f>IF(OR(K394="",L394=""),"n.a.",K394-L394)</x:f>
        <x:v>7</x:v>
      </x:c>
    </x:row>
    <x:row r="395" ht="22" customHeight="1">
      <x:c r="A395" s="2" t="str">
        <x:v>MPV</x:v>
      </x:c>
      <x:c r="B395" s="2" t="str">
        <x:v>H12026</x:v>
      </x:c>
      <x:c r="C395" s="2" t="str">
        <x:v>岚图汽车</x:v>
      </x:c>
      <x:c r="D395" s="8" t="n">
        <x:v>37057</x:v>
      </x:c>
      <x:c r="E395" s="8" t="n">
        <x:v>31940</x:v>
      </x:c>
      <x:c r="F395" s="8" t="n">
        <x:f>E395-D395</x:f>
        <x:v>-5117</x:v>
      </x:c>
      <x:c r="G395" s="9" t="n">
        <x:f>IF(D395=0,"n.a.",F395/D395)</x:f>
        <x:v>-0.13808457241546807</x:v>
      </x:c>
      <x:c r="H395" s="9" t="n">
        <x:f>D395/SUMIFS($D$6:$D$449,$A$6:$A$449,A395,$B$6:$B$449,B395)</x:f>
        <x:v>0.08325470002516266</x:v>
      </x:c>
      <x:c r="I395" s="9" t="n">
        <x:f>E395/SUMIFS($E$6:$E$449,$A$6:$A$449,A395,$B$6:$B$449,B395)</x:f>
        <x:v>0.08398190997055112</x:v>
      </x:c>
      <x:c r="J395" s="10" t="n">
        <x:f>(I395-H395)*100</x:f>
        <x:v>0.07272099453884545</x:v>
      </x:c>
      <x:c r="K395" s="2" t="n">
        <x:v>5</x:v>
      </x:c>
      <x:c r="L395" s="2" t="n">
        <x:v>6</x:v>
      </x:c>
      <x:c r="M395" s="2" t="n">
        <x:f>IF(OR(K395="",L395=""),"n.a.",K395-L395)</x:f>
        <x:v>-1</x:v>
      </x:c>
    </x:row>
    <x:row r="396" ht="22" customHeight="1">
      <x:c r="A396" s="2" t="str">
        <x:v>MPV</x:v>
      </x:c>
      <x:c r="B396" s="2" t="str">
        <x:v>H12026</x:v>
      </x:c>
      <x:c r="C396" s="2" t="str">
        <x:v>腾势</x:v>
      </x:c>
      <x:c r="D396" s="8" t="n">
        <x:v>52948</x:v>
      </x:c>
      <x:c r="E396" s="8" t="n">
        <x:v>28226</x:v>
      </x:c>
      <x:c r="F396" s="8" t="n">
        <x:f>E396-D396</x:f>
        <x:v>-24722</x:v>
      </x:c>
      <x:c r="G396" s="9" t="n">
        <x:f>IF(D396=0,"n.a.",F396/D396)</x:f>
        <x:v>-0.46691093147994256</x:v>
      </x:c>
      <x:c r="H396" s="9" t="n">
        <x:f>D396/SUMIFS($D$6:$D$449,$A$6:$A$449,A396,$B$6:$B$449,B396)</x:f>
        <x:v>0.11895646860059672</x:v>
      </x:c>
      <x:c r="I396" s="9" t="n">
        <x:f>E396/SUMIFS($E$6:$E$449,$A$6:$A$449,A396,$B$6:$B$449,B396)</x:f>
        <x:v>0.07421644930584771</x:v>
      </x:c>
      <x:c r="J396" s="10" t="n">
        <x:f>(I396-H396)*100</x:f>
        <x:v>-4.474001929474901</x:v>
      </x:c>
      <x:c r="K396" s="2" t="n">
        <x:v>3</x:v>
      </x:c>
      <x:c r="L396" s="2" t="n">
        <x:v>7</x:v>
      </x:c>
      <x:c r="M396" s="2" t="n">
        <x:f>IF(OR(K396="",L396=""),"n.a.",K396-L396)</x:f>
        <x:v>-4</x:v>
      </x:c>
    </x:row>
    <x:row r="397" ht="22" customHeight="1">
      <x:c r="A397" s="2" t="str">
        <x:v>MPV</x:v>
      </x:c>
      <x:c r="B397" s="2" t="str">
        <x:v>H12026</x:v>
      </x:c>
      <x:c r="C397" s="2" t="str">
        <x:v>小鹏</x:v>
      </x:c>
      <x:c r="D397" s="8" t="n">
        <x:v>8691</x:v>
      </x:c>
      <x:c r="E397" s="8" t="n">
        <x:v>13324</x:v>
      </x:c>
      <x:c r="F397" s="8" t="n">
        <x:f>E397-D397</x:f>
        <x:v>4633</x:v>
      </x:c>
      <x:c r="G397" s="9" t="n">
        <x:f>IF(D397=0,"n.a.",F397/D397)</x:f>
        <x:v>0.5330801979058797</x:v>
      </x:c>
      <x:c r="H397" s="9" t="n">
        <x:f>D397/SUMIFS($D$6:$D$449,$A$6:$A$449,A397,$B$6:$B$449,B397)</x:f>
        <x:v>0.0195257737517524</x:v>
      </x:c>
      <x:c r="I397" s="9" t="n">
        <x:f>E397/SUMIFS($E$6:$E$449,$A$6:$A$449,A397,$B$6:$B$449,B397)</x:f>
        <x:v>0.03503365586874211</x:v>
      </x:c>
      <x:c r="J397" s="10" t="n">
        <x:f>(I397-H397)*100</x:f>
        <x:v>1.550788211698971</x:v>
      </x:c>
      <x:c r="K397" s="2" t="n">
        <x:v>15</x:v>
      </x:c>
      <x:c r="L397" s="2" t="n">
        <x:v>8</x:v>
      </x:c>
      <x:c r="M397" s="2" t="n">
        <x:f>IF(OR(K397="",L397=""),"n.a.",K397-L397)</x:f>
        <x:v>7</x:v>
      </x:c>
    </x:row>
    <x:row r="398" ht="22" customHeight="1">
      <x:c r="A398" s="2" t="str">
        <x:v>MPV</x:v>
      </x:c>
      <x:c r="B398" s="2" t="str">
        <x:v>H12026</x:v>
      </x:c>
      <x:c r="C398" s="2" t="str">
        <x:v>现代</x:v>
      </x:c>
      <x:c r="D398" s="8" t="n">
        <x:v>7535</x:v>
      </x:c>
      <x:c r="E398" s="8" t="n">
        <x:v>8301</x:v>
      </x:c>
      <x:c r="F398" s="8" t="n">
        <x:f>E398-D398</x:f>
        <x:v>766</x:v>
      </x:c>
      <x:c r="G398" s="9" t="n">
        <x:f>IF(D398=0,"n.a.",F398/D398)</x:f>
        <x:v>0.10165892501658925</x:v>
      </x:c>
      <x:c r="H398" s="9" t="n">
        <x:f>D398/SUMIFS($D$6:$D$449,$A$6:$A$449,A398,$B$6:$B$449,B398)</x:f>
        <x:v>0.0169286279161724</x:v>
      </x:c>
      <x:c r="I398" s="9" t="n">
        <x:f>E398/SUMIFS($E$6:$E$449,$A$6:$A$449,A398,$B$6:$B$449,B398)</x:f>
        <x:v>0.021826356752208665</x:v>
      </x:c>
      <x:c r="J398" s="10" t="n">
        <x:f>(I398-H398)*100</x:f>
        <x:v>0.4897728836036265</x:v>
      </x:c>
      <x:c r="K398" s="2" t="n">
        <x:v>17</x:v>
      </x:c>
      <x:c r="L398" s="2" t="n">
        <x:v>9</x:v>
      </x:c>
      <x:c r="M398" s="2" t="n">
        <x:f>IF(OR(K398="",L398=""),"n.a.",K398-L398)</x:f>
        <x:v>8</x:v>
      </x:c>
    </x:row>
    <x:row r="399" ht="22" customHeight="1">
      <x:c r="A399" s="2" t="str">
        <x:v>MPV</x:v>
      </x:c>
      <x:c r="B399" s="2" t="str">
        <x:v>H12026</x:v>
      </x:c>
      <x:c r="C399" s="2" t="str">
        <x:v>东风风行</x:v>
      </x:c>
      <x:c r="D399" s="8" t="n">
        <x:v>9539</x:v>
      </x:c>
      <x:c r="E399" s="8" t="n">
        <x:v>7953</x:v>
      </x:c>
      <x:c r="F399" s="8" t="n">
        <x:f>E399-D399</x:f>
        <x:v>-1586</x:v>
      </x:c>
      <x:c r="G399" s="9" t="n">
        <x:f>IF(D399=0,"n.a.",F399/D399)</x:f>
        <x:v>-0.16626480763182724</x:v>
      </x:c>
      <x:c r="H399" s="9" t="n">
        <x:f>D399/SUMIFS($D$6:$D$449,$A$6:$A$449,A399,$B$6:$B$449,B399)</x:f>
        <x:v>0.02143094647543046</x:v>
      </x:c>
      <x:c r="I399" s="9" t="n">
        <x:f>E399/SUMIFS($E$6:$E$449,$A$6:$A$449,A399,$B$6:$B$449,B399)</x:f>
        <x:v>0.0209113378207825</x:v>
      </x:c>
      <x:c r="J399" s="10" t="n">
        <x:f>(I399-H399)*100</x:f>
        <x:v>-0.05196086546479621</x:v>
      </x:c>
      <x:c r="K399" s="2" t="n">
        <x:v>13</x:v>
      </x:c>
      <x:c r="L399" s="2" t="n">
        <x:v>10</x:v>
      </x:c>
      <x:c r="M399" s="2" t="n">
        <x:f>IF(OR(K399="",L399=""),"n.a.",K399-L399)</x:f>
        <x:v>3</x:v>
      </x:c>
    </x:row>
    <x:row r="400" ht="22" customHeight="1">
      <x:c r="A400" s="2" t="str">
        <x:v>MPV</x:v>
      </x:c>
      <x:c r="B400" s="2" t="str">
        <x:v>H12026</x:v>
      </x:c>
      <x:c r="C400" s="2" t="str">
        <x:v>本田</x:v>
      </x:c>
      <x:c r="D400" s="8" t="n">
        <x:v>14966</x:v>
      </x:c>
      <x:c r="E400" s="8" t="n">
        <x:v>7617</x:v>
      </x:c>
      <x:c r="F400" s="8" t="n">
        <x:f>E400-D400</x:f>
        <x:v>-7349</x:v>
      </x:c>
      <x:c r="G400" s="9" t="n">
        <x:f>IF(D400=0,"n.a.",F400/D400)</x:f>
        <x:v>-0.49104637177602567</x:v>
      </x:c>
      <x:c r="H400" s="9" t="n">
        <x:f>D400/SUMIFS($D$6:$D$449,$A$6:$A$449,A400,$B$6:$B$449,B400)</x:f>
        <x:v>0.03362360257378051</x:v>
      </x:c>
      <x:c r="I400" s="9" t="n">
        <x:f>E400/SUMIFS($E$6:$E$449,$A$6:$A$449,A400,$B$6:$B$449,B400)</x:f>
        <x:v>0.020027871266302063</x:v>
      </x:c>
      <x:c r="J400" s="10" t="n">
        <x:f>(I400-H400)*100</x:f>
        <x:v>-1.359573130747845</x:v>
      </x:c>
      <x:c r="K400" s="2" t="n">
        <x:v>7</x:v>
      </x:c>
      <x:c r="L400" s="2" t="n">
        <x:v>11</x:v>
      </x:c>
      <x:c r="M400" s="2" t="n">
        <x:f>IF(OR(K400="",L400=""),"n.a.",K400-L400)</x:f>
        <x:v>-4</x:v>
      </x:c>
    </x:row>
    <x:row r="401" ht="22" customHeight="1">
      <x:c r="A401" s="2" t="str">
        <x:v>MPV</x:v>
      </x:c>
      <x:c r="B401" s="2" t="str">
        <x:v>H12026</x:v>
      </x:c>
      <x:c r="C401" s="2" t="str">
        <x:v>极氪</x:v>
      </x:c>
      <x:c r="D401" s="8" t="n">
        <x:v>11292</x:v>
      </x:c>
      <x:c r="E401" s="8" t="n">
        <x:v>7086</x:v>
      </x:c>
      <x:c r="F401" s="8" t="n">
        <x:f>E401-D401</x:f>
        <x:v>-4206</x:v>
      </x:c>
      <x:c r="G401" s="9" t="n">
        <x:f>IF(D401=0,"n.a.",F401/D401)</x:f>
        <x:v>-0.37247608926673753</x:v>
      </x:c>
      <x:c r="H401" s="9" t="n">
        <x:f>D401/SUMIFS($D$6:$D$449,$A$6:$A$449,A401,$B$6:$B$449,B401)</x:f>
        <x:v>0.025369351881807396</x:v>
      </x:c>
      <x:c r="I401" s="9" t="n">
        <x:f>E401/SUMIFS($E$6:$E$449,$A$6:$A$449,A401,$B$6:$B$449,B401)</x:f>
        <x:v>0.018631678586453513</x:v>
      </x:c>
      <x:c r="J401" s="10" t="n">
        <x:f>(I401-H401)*100</x:f>
        <x:v>-0.6737673295353883</x:v>
      </x:c>
      <x:c r="K401" s="2" t="n">
        <x:v>10</x:v>
      </x:c>
      <x:c r="L401" s="2" t="n">
        <x:v>12</x:v>
      </x:c>
      <x:c r="M401" s="2" t="n">
        <x:f>IF(OR(K401="",L401=""),"n.a.",K401-L401)</x:f>
        <x:v>-2</x:v>
      </x:c>
    </x:row>
    <x:row r="402" ht="22" customHeight="1">
      <x:c r="A402" s="2" t="str">
        <x:v>MPV</x:v>
      </x:c>
      <x:c r="B402" s="2" t="str">
        <x:v>H12026</x:v>
      </x:c>
      <x:c r="C402" s="2" t="str">
        <x:v>北汽制造</x:v>
      </x:c>
      <x:c r="D402" s="8" t="n">
        <x:v>8024</x:v>
      </x:c>
      <x:c r="E402" s="8" t="n">
        <x:v>6430</x:v>
      </x:c>
      <x:c r="F402" s="8" t="n">
        <x:f>E402-D402</x:f>
        <x:v>-1594</x:v>
      </x:c>
      <x:c r="G402" s="9" t="n">
        <x:f>IF(D402=0,"n.a.",F402/D402)</x:f>
        <x:v>-0.19865403788634098</x:v>
      </x:c>
      <x:c r="H402" s="9" t="n">
        <x:f>D402/SUMIFS($D$6:$D$449,$A$6:$A$449,A402,$B$6:$B$449,B402)</x:f>
        <x:v>0.018027247564614112</x:v>
      </x:c>
      <x:c r="I402" s="9" t="n">
        <x:f>E402/SUMIFS($E$6:$E$449,$A$6:$A$449,A402,$B$6:$B$449,B402)</x:f>
        <x:v>0.016906815313420278</x:v>
      </x:c>
      <x:c r="J402" s="10" t="n">
        <x:f>(I402-H402)*100</x:f>
        <x:v>-0.11204322511938342</x:v>
      </x:c>
      <x:c r="K402" s="2" t="n">
        <x:v>16</x:v>
      </x:c>
      <x:c r="L402" s="2" t="n">
        <x:v>13</x:v>
      </x:c>
      <x:c r="M402" s="2" t="n">
        <x:f>IF(OR(K402="",L402=""),"n.a.",K402-L402)</x:f>
        <x:v>3</x:v>
      </x:c>
    </x:row>
    <x:row r="403" ht="22" customHeight="1">
      <x:c r="A403" s="2" t="str">
        <x:v>MPV</x:v>
      </x:c>
      <x:c r="B403" s="2" t="str">
        <x:v>H12026</x:v>
      </x:c>
      <x:c r="C403" s="2" t="str">
        <x:v>鸿蒙智行</x:v>
      </x:c>
      <x:c r="D403" s="8" t="n">
        <x:v>0</x:v>
      </x:c>
      <x:c r="E403" s="8" t="n">
        <x:v>4367</x:v>
      </x:c>
      <x:c r="F403" s="8" t="n">
        <x:f>E403-D403</x:f>
        <x:v>4367</x:v>
      </x:c>
      <x:c r="G403" s="9" t="str">
        <x:f>IF(D403=0,"n.a.",F403/D403)</x:f>
        <x:v>n.a.</x:v>
      </x:c>
      <x:c r="H403" s="9" t="n">
        <x:f>D403/SUMIFS($D$6:$D$449,$A$6:$A$449,A403,$B$6:$B$449,B403)</x:f>
        <x:v>0</x:v>
      </x:c>
      <x:c r="I403" s="9" t="n">
        <x:f>E403/SUMIFS($E$6:$E$449,$A$6:$A$449,A403,$B$6:$B$449,B403)</x:f>
        <x:v>0.01148243584350021</x:v>
      </x:c>
      <x:c r="J403" s="10" t="n">
        <x:f>(I403-H403)*100</x:f>
        <x:v>1.148243584350021</x:v>
      </x:c>
      <x:c r="K403" s="2"/>
      <x:c r="L403" s="2" t="n">
        <x:v>14</x:v>
      </x:c>
      <x:c r="M403" s="2" t="str">
        <x:f>IF(OR(K403="",L403=""),"n.a.",K403-L403)</x:f>
        <x:v>n.a.</x:v>
      </x:c>
    </x:row>
    <x:row r="404" ht="22" customHeight="1">
      <x:c r="A404" s="2" t="str">
        <x:v>MPV</x:v>
      </x:c>
      <x:c r="B404" s="2" t="str">
        <x:v>H12026</x:v>
      </x:c>
      <x:c r="C404" s="2" t="str">
        <x:v>大通</x:v>
      </x:c>
      <x:c r="D404" s="8" t="n">
        <x:v>9063</x:v>
      </x:c>
      <x:c r="E404" s="8" t="n">
        <x:v>4275</x:v>
      </x:c>
      <x:c r="F404" s="8" t="n">
        <x:f>E404-D404</x:f>
        <x:v>-4788</x:v>
      </x:c>
      <x:c r="G404" s="9" t="n">
        <x:f>IF(D404=0,"n.a.",F404/D404)</x:f>
        <x:v>-0.5283018867924528</x:v>
      </x:c>
      <x:c r="H404" s="9" t="n">
        <x:f>D404/SUMIFS($D$6:$D$449,$A$6:$A$449,A404,$B$6:$B$449,B404)</x:f>
        <x:v>0.020361533484309285</x:v>
      </x:c>
      <x:c r="I404" s="9" t="n">
        <x:f>E404/SUMIFS($E$6:$E$449,$A$6:$A$449,A404,$B$6:$B$449,B404)</x:f>
        <x:v>0.01124053428691628</x:v>
      </x:c>
      <x:c r="J404" s="10" t="n">
        <x:f>(I404-H404)*100</x:f>
        <x:v>-0.9120999197393004</x:v>
      </x:c>
      <x:c r="K404" s="2" t="n">
        <x:v>14</x:v>
      </x:c>
      <x:c r="L404" s="2" t="n">
        <x:v>15</x:v>
      </x:c>
      <x:c r="M404" s="2" t="n">
        <x:f>IF(OR(K404="",L404=""),"n.a.",K404-L404)</x:f>
        <x:v>-1</x:v>
      </x:c>
    </x:row>
    <x:row r="405" ht="22" customHeight="1">
      <x:c r="A405" s="2" t="str">
        <x:v>MPV</x:v>
      </x:c>
      <x:c r="B405" s="2" t="str">
        <x:v>H12026</x:v>
      </x:c>
      <x:c r="C405" s="2" t="str">
        <x:v>比亚迪</x:v>
      </x:c>
      <x:c r="D405" s="8" t="n">
        <x:v>17527</x:v>
      </x:c>
      <x:c r="E405" s="8" t="n">
        <x:v>4152</x:v>
      </x:c>
      <x:c r="F405" s="8" t="n">
        <x:f>E405-D405</x:f>
        <x:v>-13375</x:v>
      </x:c>
      <x:c r="G405" s="9" t="n">
        <x:f>IF(D405=0,"n.a.",F405/D405)</x:f>
        <x:v>-0.7631083471215838</x:v>
      </x:c>
      <x:c r="H405" s="9" t="n">
        <x:f>D405/SUMIFS($D$6:$D$449,$A$6:$A$449,A405,$B$6:$B$449,B405)</x:f>
        <x:v>0.039377314065926164</x:v>
      </x:c>
      <x:c r="I405" s="9" t="n">
        <x:f>E405/SUMIFS($E$6:$E$449,$A$6:$A$449,A405,$B$6:$B$449,B405)</x:f>
        <x:v>0.010917122423222549</x:v>
      </x:c>
      <x:c r="J405" s="10" t="n">
        <x:f>(I405-H405)*100</x:f>
        <x:v>-2.8460191642703614</x:v>
      </x:c>
      <x:c r="K405" s="2" t="n">
        <x:v>6</x:v>
      </x:c>
      <x:c r="L405" s="2" t="n">
        <x:v>16</x:v>
      </x:c>
      <x:c r="M405" s="2" t="n">
        <x:f>IF(OR(K405="",L405=""),"n.a.",K405-L405)</x:f>
        <x:v>-10</x:v>
      </x:c>
    </x:row>
    <x:row r="406" ht="22" customHeight="1">
      <x:c r="A406" s="2" t="str">
        <x:v>MPV</x:v>
      </x:c>
      <x:c r="B406" s="2" t="str">
        <x:v>H12026</x:v>
      </x:c>
      <x:c r="C406" s="2" t="str">
        <x:v>江淮瑞风</x:v>
      </x:c>
      <x:c r="D406" s="8" t="n">
        <x:v>6459</x:v>
      </x:c>
      <x:c r="E406" s="8" t="n">
        <x:v>3962</x:v>
      </x:c>
      <x:c r="F406" s="8" t="n">
        <x:f>E406-D406</x:f>
        <x:v>-2497</x:v>
      </x:c>
      <x:c r="G406" s="9" t="n">
        <x:f>IF(D406=0,"n.a.",F406/D406)</x:f>
        <x:v>-0.38659235175723794</x:v>
      </x:c>
      <x:c r="H406" s="9" t="n">
        <x:f>D406/SUMIFS($D$6:$D$449,$A$6:$A$449,A406,$B$6:$B$449,B406)</x:f>
        <x:v>0.014511215356411086</x:v>
      </x:c>
      <x:c r="I406" s="9" t="n">
        <x:f>E406/SUMIFS($E$6:$E$449,$A$6:$A$449,A406,$B$6:$B$449,B406)</x:f>
        <x:v>0.010417543121581826</x:v>
      </x:c>
      <x:c r="J406" s="10" t="n">
        <x:f>(I406-H406)*100</x:f>
        <x:v>-0.409367223482926</x:v>
      </x:c>
      <x:c r="K406" s="2" t="n">
        <x:v>18</x:v>
      </x:c>
      <x:c r="L406" s="2" t="n">
        <x:v>17</x:v>
      </x:c>
      <x:c r="M406" s="2" t="n">
        <x:f>IF(OR(K406="",L406=""),"n.a.",K406-L406)</x:f>
        <x:v>1</x:v>
      </x:c>
    </x:row>
    <x:row r="407" ht="22" customHeight="1">
      <x:c r="A407" s="2" t="str">
        <x:v>MPV</x:v>
      </x:c>
      <x:c r="B407" s="2" t="str">
        <x:v>H12026</x:v>
      </x:c>
      <x:c r="C407" s="2" t="str">
        <x:v>奔驰</x:v>
      </x:c>
      <x:c r="D407" s="8" t="n">
        <x:v>9959</x:v>
      </x:c>
      <x:c r="E407" s="8" t="n">
        <x:v>3553</x:v>
      </x:c>
      <x:c r="F407" s="8" t="n">
        <x:f>E407-D407</x:f>
        <x:v>-6406</x:v>
      </x:c>
      <x:c r="G407" s="9" t="n">
        <x:f>IF(D407=0,"n.a.",F407/D407)</x:f>
        <x:v>-0.643237272818556</x:v>
      </x:c>
      <x:c r="H407" s="9" t="n">
        <x:f>D407/SUMIFS($D$6:$D$449,$A$6:$A$449,A407,$B$6:$B$449,B407)</x:f>
        <x:v>0.022374546173478557</x:v>
      </x:c>
      <x:c r="I407" s="9" t="n">
        <x:f>E407/SUMIFS($E$6:$E$449,$A$6:$A$449,A407,$B$6:$B$449,B407)</x:f>
        <x:v>0.009342132940681532</x:v>
      </x:c>
      <x:c r="J407" s="10" t="n">
        <x:f>(I407-H407)*100</x:f>
        <x:v>-1.3032413232797024</x:v>
      </x:c>
      <x:c r="K407" s="2" t="n">
        <x:v>11</x:v>
      </x:c>
      <x:c r="L407" s="2" t="n">
        <x:v>18</x:v>
      </x:c>
      <x:c r="M407" s="2" t="n">
        <x:f>IF(OR(K407="",L407=""),"n.a.",K407-L407)</x:f>
        <x:v>-7</x:v>
      </x:c>
    </x:row>
    <x:row r="408" ht="22" customHeight="1">
      <x:c r="A408" s="2" t="str">
        <x:v>MPV</x:v>
      </x:c>
      <x:c r="B408" s="2" t="str">
        <x:v>H12026</x:v>
      </x:c>
      <x:c r="C408" s="2" t="str">
        <x:v>长安凯程</x:v>
      </x:c>
      <x:c r="D408" s="8" t="n">
        <x:v>5975</x:v>
      </x:c>
      <x:c r="E408" s="8" t="n">
        <x:v>3138</x:v>
      </x:c>
      <x:c r="F408" s="8" t="n">
        <x:f>E408-D408</x:f>
        <x:v>-2837</x:v>
      </x:c>
      <x:c r="G408" s="9" t="n">
        <x:f>IF(D408=0,"n.a.",F408/D408)</x:f>
        <x:v>-0.47481171548117157</x:v>
      </x:c>
      <x:c r="H408" s="9" t="n">
        <x:f>D408/SUMIFS($D$6:$D$449,$A$6:$A$449,A408,$B$6:$B$449,B408)</x:f>
        <x:v>0.013423829037708042</x:v>
      </x:c>
      <x:c r="I408" s="9" t="n">
        <x:f>E408/SUMIFS($E$6:$E$449,$A$6:$A$449,A408,$B$6:$B$449,B408)</x:f>
        <x:v>0.008250946571308372</x:v>
      </x:c>
      <x:c r="J408" s="10" t="n">
        <x:f>(I408-H408)*100</x:f>
        <x:v>-0.5172882466399669</x:v>
      </x:c>
      <x:c r="K408" s="2" t="n">
        <x:v>20</x:v>
      </x:c>
      <x:c r="L408" s="2" t="n">
        <x:v>19</x:v>
      </x:c>
      <x:c r="M408" s="2" t="n">
        <x:f>IF(OR(K408="",L408=""),"n.a.",K408-L408)</x:f>
        <x:v>1</x:v>
      </x:c>
    </x:row>
    <x:row r="409" ht="22" customHeight="1">
      <x:c r="A409" s="2" t="str">
        <x:v>MPV</x:v>
      </x:c>
      <x:c r="B409" s="2" t="str">
        <x:v>H12026</x:v>
      </x:c>
      <x:c r="C409" s="2" t="str">
        <x:v>ARCFOX极狐</x:v>
      </x:c>
      <x:c r="D409" s="8" t="n">
        <x:v>13668</x:v>
      </x:c>
      <x:c r="E409" s="8" t="n">
        <x:v>2861</x:v>
      </x:c>
      <x:c r="F409" s="8" t="n">
        <x:f>E409-D409</x:f>
        <x:v>-10807</x:v>
      </x:c>
      <x:c r="G409" s="9" t="n">
        <x:f>IF(D409=0,"n.a.",F409/D409)</x:f>
        <x:v>-0.7906789581504243</x:v>
      </x:c>
      <x:c r="H409" s="9" t="n">
        <x:f>D409/SUMIFS($D$6:$D$449,$A$6:$A$449,A409,$B$6:$B$449,B409)</x:f>
        <x:v>0.030707430173622343</x:v>
      </x:c>
      <x:c r="I409" s="9" t="n">
        <x:f>E409/SUMIFS($E$6:$E$449,$A$6:$A$449,A409,$B$6:$B$449,B409)</x:f>
        <x:v>0.0075226125368111066</x:v>
      </x:c>
      <x:c r="J409" s="10" t="n">
        <x:f>(I409-H409)*100</x:f>
        <x:v>-2.3184817636811235</x:v>
      </x:c>
      <x:c r="K409" s="2" t="n">
        <x:v>9</x:v>
      </x:c>
      <x:c r="L409" s="2" t="n">
        <x:v>20</x:v>
      </x:c>
      <x:c r="M409" s="2" t="n">
        <x:f>IF(OR(K409="",L409=""),"n.a.",K409-L409)</x:f>
        <x:v>-11</x:v>
      </x:c>
    </x:row>
    <x:row r="410" ht="22" customHeight="1">
      <x:c r="A410" s="2" t="str">
        <x:v>MPV</x:v>
      </x:c>
      <x:c r="B410" s="2" t="str">
        <x:v>H12026</x:v>
      </x:c>
      <x:c r="C410" s="2" t="str">
        <x:v>理想汽车</x:v>
      </x:c>
      <x:c r="D410" s="8" t="n">
        <x:v>5805</x:v>
      </x:c>
      <x:c r="E410" s="8" t="n">
        <x:v>2843</x:v>
      </x:c>
      <x:c r="F410" s="8" t="n">
        <x:f>E410-D410</x:f>
        <x:v>-2962</x:v>
      </x:c>
      <x:c r="G410" s="9" t="n">
        <x:f>IF(D410=0,"n.a.",F410/D410)</x:f>
        <x:v>-0.5102497846683893</x:v>
      </x:c>
      <x:c r="H410" s="9" t="n">
        <x:f>D410/SUMIFS($D$6:$D$449,$A$6:$A$449,A410,$B$6:$B$449,B410)</x:f>
        <x:v>0.013041895826593335</x:v>
      </x:c>
      <x:c r="I410" s="9" t="n">
        <x:f>E410/SUMIFS($E$6:$E$449,$A$6:$A$449,A410,$B$6:$B$449,B410)</x:f>
        <x:v>0.007475283971392512</x:v>
      </x:c>
      <x:c r="J410" s="10" t="n">
        <x:f>(I410-H410)*100</x:f>
        <x:v>-0.5566611855200824</x:v>
      </x:c>
      <x:c r="K410" s="2" t="n">
        <x:v>21</x:v>
      </x:c>
      <x:c r="L410" s="2" t="n">
        <x:v>21</x:v>
      </x:c>
      <x:c r="M410" s="2" t="n">
        <x:f>IF(OR(K410="",L410=""),"n.a.",K410-L410)</x:f>
        <x:v>0</x:v>
      </x:c>
    </x:row>
    <x:row r="411" ht="22" customHeight="1">
      <x:c r="A411" s="2" t="str">
        <x:v>MPV</x:v>
      </x:c>
      <x:c r="B411" s="2" t="str">
        <x:v>H12026</x:v>
      </x:c>
      <x:c r="C411" s="2" t="str">
        <x:v>吉利银河</x:v>
      </x:c>
      <x:c r="D411" s="8" t="n">
        <x:v>0</x:v>
      </x:c>
      <x:c r="E411" s="8" t="n">
        <x:v>2582</x:v>
      </x:c>
      <x:c r="F411" s="8" t="n">
        <x:f>E411-D411</x:f>
        <x:v>2582</x:v>
      </x:c>
      <x:c r="G411" s="9" t="str">
        <x:f>IF(D411=0,"n.a.",F411/D411)</x:f>
        <x:v>n.a.</x:v>
      </x:c>
      <x:c r="H411" s="9" t="n">
        <x:f>D411/SUMIFS($D$6:$D$449,$A$6:$A$449,A411,$B$6:$B$449,B411)</x:f>
        <x:v>0</x:v>
      </x:c>
      <x:c r="I411" s="9" t="n">
        <x:f>E411/SUMIFS($E$6:$E$449,$A$6:$A$449,A411,$B$6:$B$449,B411)</x:f>
        <x:v>0.006789019772822886</x:v>
      </x:c>
      <x:c r="J411" s="10" t="n">
        <x:f>(I411-H411)*100</x:f>
        <x:v>0.6789019772822886</x:v>
      </x:c>
      <x:c r="K411" s="2"/>
      <x:c r="L411" s="2" t="n">
        <x:v>22</x:v>
      </x:c>
      <x:c r="M411" s="2" t="str">
        <x:f>IF(OR(K411="",L411=""),"n.a.",K411-L411)</x:f>
        <x:v>n.a.</x:v>
      </x:c>
    </x:row>
    <x:row r="412" ht="22" customHeight="1">
      <x:c r="A412" s="2" t="str">
        <x:v>MPV</x:v>
      </x:c>
      <x:c r="B412" s="2" t="str">
        <x:v>H12026</x:v>
      </x:c>
      <x:c r="C412" s="2" t="str">
        <x:v>大众</x:v>
      </x:c>
      <x:c r="D412" s="8" t="n">
        <x:v>6046</x:v>
      </x:c>
      <x:c r="E412" s="8" t="n">
        <x:v>2411</x:v>
      </x:c>
      <x:c r="F412" s="8" t="n">
        <x:f>E412-D412</x:f>
        <x:v>-3635</x:v>
      </x:c>
      <x:c r="G412" s="9" t="n">
        <x:f>IF(D412=0,"n.a.",F412/D412)</x:f>
        <x:v>-0.6012239497188223</x:v>
      </x:c>
      <x:c r="H412" s="9" t="n">
        <x:f>D412/SUMIFS($D$6:$D$449,$A$6:$A$449,A412,$B$6:$B$449,B412)</x:f>
        <x:v>0.013583342319997124</x:v>
      </x:c>
      <x:c r="I412" s="9" t="n">
        <x:f>E412/SUMIFS($E$6:$E$449,$A$6:$A$449,A412,$B$6:$B$449,B412)</x:f>
        <x:v>0.0063393984013462345</x:v>
      </x:c>
      <x:c r="J412" s="10" t="n">
        <x:f>(I412-H412)*100</x:f>
        <x:v>-0.724394391865089</x:v>
      </x:c>
      <x:c r="K412" s="2" t="n">
        <x:v>19</x:v>
      </x:c>
      <x:c r="L412" s="2" t="n">
        <x:v>23</x:v>
      </x:c>
      <x:c r="M412" s="2" t="n">
        <x:f>IF(OR(K412="",L412=""),"n.a.",K412-L412)</x:f>
        <x:v>-4</x:v>
      </x:c>
    </x:row>
    <x:row r="413" ht="22" customHeight="1">
      <x:c r="A413" s="2" t="str">
        <x:v>MPV</x:v>
      </x:c>
      <x:c r="B413" s="2" t="str">
        <x:v>H12026</x:v>
      </x:c>
      <x:c r="C413" s="2" t="str">
        <x:v>红旗</x:v>
      </x:c>
      <x:c r="D413" s="8" t="n">
        <x:v>3242</x:v>
      </x:c>
      <x:c r="E413" s="8" t="n">
        <x:v>1395</x:v>
      </x:c>
      <x:c r="F413" s="8" t="n">
        <x:f>E413-D413</x:f>
        <x:v>-1847</x:v>
      </x:c>
      <x:c r="G413" s="9" t="n">
        <x:f>IF(D413=0,"n.a.",F413/D413)</x:f>
        <x:v>-0.5697100555212832</x:v>
      </x:c>
      <x:c r="H413" s="9" t="n">
        <x:f>D413/SUMIFS($D$6:$D$449,$A$6:$A$449,A413,$B$6:$B$449,B413)</x:f>
        <x:v>0.007283691002552213</x:v>
      </x:c>
      <x:c r="I413" s="9" t="n">
        <x:f>E413/SUMIFS($E$6:$E$449,$A$6:$A$449,A413,$B$6:$B$449,B413)</x:f>
        <x:v>0.003667963819941102</x:v>
      </x:c>
      <x:c r="J413" s="10" t="n">
        <x:f>(I413-H413)*100</x:f>
        <x:v>-0.3615727182611111</x:v>
      </x:c>
      <x:c r="K413" s="2" t="n">
        <x:v>22</x:v>
      </x:c>
      <x:c r="L413" s="2" t="n">
        <x:v>24</x:v>
      </x:c>
      <x:c r="M413" s="2" t="n">
        <x:f>IF(OR(K413="",L413=""),"n.a.",K413-L413)</x:f>
        <x:v>-2</x:v>
      </x:c>
    </x:row>
    <x:row r="414" ht="22" customHeight="1">
      <x:c r="A414" s="2" t="str">
        <x:v>MPV</x:v>
      </x:c>
      <x:c r="B414" s="2" t="str">
        <x:v>H12026</x:v>
      </x:c>
      <x:c r="C414" s="2" t="str">
        <x:v>起亚</x:v>
      </x:c>
      <x:c r="D414" s="8" t="n">
        <x:v>680</x:v>
      </x:c>
      <x:c r="E414" s="8" t="n">
        <x:v>439</x:v>
      </x:c>
      <x:c r="F414" s="8" t="n">
        <x:f>E414-D414</x:f>
        <x:v>-241</x:v>
      </x:c>
      <x:c r="G414" s="9" t="n">
        <x:f>IF(D414=0,"n.a.",F414/D414)</x:f>
        <x:v>-0.35441176470588237</x:v>
      </x:c>
      <x:c r="H414" s="9" t="n">
        <x:f>D414/SUMIFS($D$6:$D$449,$A$6:$A$449,A414,$B$6:$B$449,B414)</x:f>
        <x:v>0.0015277328444588231</x:v>
      </x:c>
      <x:c r="I414" s="9" t="n">
        <x:f>E414/SUMIFS($E$6:$E$449,$A$6:$A$449,A414,$B$6:$B$449,B414)</x:f>
        <x:v>0.0011542911232646192</x:v>
      </x:c>
      <x:c r="J414" s="10" t="n">
        <x:f>(I414-H414)*100</x:f>
        <x:v>-0.03734417211942039</x:v>
      </x:c>
      <x:c r="K414" s="2" t="n">
        <x:v>25</x:v>
      </x:c>
      <x:c r="L414" s="2" t="n">
        <x:v>25</x:v>
      </x:c>
      <x:c r="M414" s="2" t="n">
        <x:f>IF(OR(K414="",L414=""),"n.a.",K414-L414)</x:f>
        <x:v>0</x:v>
      </x:c>
    </x:row>
    <x:row r="415" ht="22" customHeight="1">
      <x:c r="A415" s="2" t="str">
        <x:v>MPV</x:v>
      </x:c>
      <x:c r="B415" s="2" t="str">
        <x:v>H12026</x:v>
      </x:c>
      <x:c r="C415" s="2" t="str">
        <x:v>荣威</x:v>
      </x:c>
      <x:c r="D415" s="8" t="n">
        <x:v>2052</x:v>
      </x:c>
      <x:c r="E415" s="8" t="n">
        <x:v>360</x:v>
      </x:c>
      <x:c r="F415" s="8" t="n">
        <x:f>E415-D415</x:f>
        <x:v>-1692</x:v>
      </x:c>
      <x:c r="G415" s="9" t="n">
        <x:f>IF(D415=0,"n.a.",F415/D415)</x:f>
        <x:v>-0.8245614035087719</x:v>
      </x:c>
      <x:c r="H415" s="9" t="n">
        <x:f>D415/SUMIFS($D$6:$D$449,$A$6:$A$449,A415,$B$6:$B$449,B415)</x:f>
        <x:v>0.004610158524749272</x:v>
      </x:c>
      <x:c r="I415" s="9" t="n">
        <x:f>E415/SUMIFS($E$6:$E$449,$A$6:$A$449,A415,$B$6:$B$449,B415)</x:f>
        <x:v>0.0009465713083718974</x:v>
      </x:c>
      <x:c r="J415" s="10" t="n">
        <x:f>(I415-H415)*100</x:f>
        <x:v>-0.3663587216377375</x:v>
      </x:c>
      <x:c r="K415" s="2" t="n">
        <x:v>23</x:v>
      </x:c>
      <x:c r="L415" s="2" t="n">
        <x:v>26</x:v>
      </x:c>
      <x:c r="M415" s="2" t="n">
        <x:f>IF(OR(K415="",L415=""),"n.a.",K415-L415)</x:f>
        <x:v>-3</x:v>
      </x:c>
    </x:row>
    <x:row r="416" ht="22" customHeight="1">
      <x:c r="A416" s="2" t="str">
        <x:v>MPV</x:v>
      </x:c>
      <x:c r="B416" s="2" t="str">
        <x:v>H12026</x:v>
      </x:c>
      <x:c r="C416" s="2" t="str">
        <x:v>东风风光</x:v>
      </x:c>
      <x:c r="D416" s="8" t="n">
        <x:v>1289</x:v>
      </x:c>
      <x:c r="E416" s="8" t="n">
        <x:v>349</x:v>
      </x:c>
      <x:c r="F416" s="8" t="n">
        <x:f>E416-D416</x:f>
        <x:v>-940</x:v>
      </x:c>
      <x:c r="G416" s="9" t="n">
        <x:f>IF(D416=0,"n.a.",F416/D416)</x:f>
        <x:v>-0.7292474786656322</x:v>
      </x:c>
      <x:c r="H416" s="9" t="n">
        <x:f>D416/SUMIFS($D$6:$D$449,$A$6:$A$449,A416,$B$6:$B$449,B416)</x:f>
        <x:v>0.002895952406628563</x:v>
      </x:c>
      <x:c r="I416" s="9" t="n">
        <x:f>E416/SUMIFS($E$6:$E$449,$A$6:$A$449,A416,$B$6:$B$449,B416)</x:f>
        <x:v>0.0009176482961716449</x:v>
      </x:c>
      <x:c r="J416" s="10" t="n">
        <x:f>(I416-H416)*100</x:f>
        <x:v>-0.19783041104569182</x:v>
      </x:c>
      <x:c r="K416" s="2" t="n">
        <x:v>24</x:v>
      </x:c>
      <x:c r="L416" s="2" t="n">
        <x:v>27</x:v>
      </x:c>
      <x:c r="M416" s="2" t="n">
        <x:f>IF(OR(K416="",L416=""),"n.a.",K416-L416)</x:f>
        <x:v>-3</x:v>
      </x:c>
    </x:row>
    <x:row r="417" ht="22" customHeight="1">
      <x:c r="A417" s="2" t="str">
        <x:v>MPV</x:v>
      </x:c>
      <x:c r="B417" s="2" t="str">
        <x:v>H12026</x:v>
      </x:c>
      <x:c r="C417" s="2" t="str">
        <x:v>零跑汽车</x:v>
      </x:c>
      <x:c r="D417" s="8" t="n">
        <x:v>0</x:v>
      </x:c>
      <x:c r="E417" s="8" t="n">
        <x:v>327</x:v>
      </x:c>
      <x:c r="F417" s="8" t="n">
        <x:f>E417-D417</x:f>
        <x:v>327</x:v>
      </x:c>
      <x:c r="G417" s="9" t="str">
        <x:f>IF(D417=0,"n.a.",F417/D417)</x:f>
        <x:v>n.a.</x:v>
      </x:c>
      <x:c r="H417" s="9" t="n">
        <x:f>D417/SUMIFS($D$6:$D$449,$A$6:$A$449,A417,$B$6:$B$449,B417)</x:f>
        <x:v>0</x:v>
      </x:c>
      <x:c r="I417" s="9" t="n">
        <x:f>E417/SUMIFS($E$6:$E$449,$A$6:$A$449,A417,$B$6:$B$449,B417)</x:f>
        <x:v>0.0008598022717711401</x:v>
      </x:c>
      <x:c r="J417" s="10" t="n">
        <x:f>(I417-H417)*100</x:f>
        <x:v>0.08598022717711401</x:v>
      </x:c>
      <x:c r="K417" s="2"/>
      <x:c r="L417" s="2" t="n">
        <x:v>28</x:v>
      </x:c>
      <x:c r="M417" s="2" t="str">
        <x:f>IF(OR(K417="",L417=""),"n.a.",K417-L417)</x:f>
        <x:v>n.a.</x:v>
      </x:c>
    </x:row>
    <x:row r="418" ht="22" customHeight="1">
      <x:c r="A418" s="2" t="str">
        <x:v>MPV</x:v>
      </x:c>
      <x:c r="B418" s="2" t="str">
        <x:v>H12026</x:v>
      </x:c>
      <x:c r="C418" s="2" t="str">
        <x:v>睿蓝汽车</x:v>
      </x:c>
      <x:c r="D418" s="8" t="n">
        <x:v>499</x:v>
      </x:c>
      <x:c r="E418" s="8" t="n">
        <x:v>176</x:v>
      </x:c>
      <x:c r="F418" s="8" t="n">
        <x:f>E418-D418</x:f>
        <x:v>-323</x:v>
      </x:c>
      <x:c r="G418" s="9" t="n">
        <x:f>IF(D418=0,"n.a.",F418/D418)</x:f>
        <x:v>-0.6472945891783567</x:v>
      </x:c>
      <x:c r="H418" s="9" t="n">
        <x:f>D418/SUMIFS($D$6:$D$449,$A$6:$A$449,A418,$B$6:$B$449,B418)</x:f>
        <x:v>0.0011210863079190482</x:v>
      </x:c>
      <x:c r="I418" s="9" t="n">
        <x:f>E418/SUMIFS($E$6:$E$449,$A$6:$A$449,A418,$B$6:$B$449,B418)</x:f>
        <x:v>0.0004627681952040387</x:v>
      </x:c>
      <x:c r="J418" s="10" t="n">
        <x:f>(I418-H418)*100</x:f>
        <x:v>-0.06583181127150095</x:v>
      </x:c>
      <x:c r="K418" s="2" t="n">
        <x:v>26</x:v>
      </x:c>
      <x:c r="L418" s="2" t="n">
        <x:v>29</x:v>
      </x:c>
      <x:c r="M418" s="2" t="n">
        <x:f>IF(OR(K418="",L418=""),"n.a.",K418-L418)</x:f>
        <x:v>-3</x:v>
      </x:c>
    </x:row>
    <x:row r="419" ht="22" customHeight="1">
      <x:c r="A419" s="2" t="str">
        <x:v>MPV</x:v>
      </x:c>
      <x:c r="B419" s="2" t="str">
        <x:v>H12026</x:v>
      </x:c>
      <x:c r="C419" s="2" t="str">
        <x:v>沃尔沃</x:v>
      </x:c>
      <x:c r="D419" s="8" t="n">
        <x:v>219</x:v>
      </x:c>
      <x:c r="E419" s="8" t="n">
        <x:v>116</x:v>
      </x:c>
      <x:c r="F419" s="8" t="n">
        <x:f>E419-D419</x:f>
        <x:v>-103</x:v>
      </x:c>
      <x:c r="G419" s="9" t="n">
        <x:f>IF(D419=0,"n.a.",F419/D419)</x:f>
        <x:v>-0.4703196347031963</x:v>
      </x:c>
      <x:c r="H419" s="9" t="n">
        <x:f>D419/SUMIFS($D$6:$D$449,$A$6:$A$449,A419,$B$6:$B$449,B419)</x:f>
        <x:v>0.0004920198425536503</x:v>
      </x:c>
      <x:c r="I419" s="9" t="n">
        <x:f>E419/SUMIFS($E$6:$E$449,$A$6:$A$449,A419,$B$6:$B$449,B419)</x:f>
        <x:v>0.00030500631047538913</x:v>
      </x:c>
      <x:c r="J419" s="10" t="n">
        <x:f>(I419-H419)*100</x:f>
        <x:v>-0.01870135320782612</x:v>
      </x:c>
      <x:c r="K419" s="2" t="n">
        <x:v>27</x:v>
      </x:c>
      <x:c r="L419" s="2" t="n">
        <x:v>30</x:v>
      </x:c>
      <x:c r="M419" s="2" t="n">
        <x:f>IF(OR(K419="",L419=""),"n.a.",K419-L419)</x:f>
        <x:v>-3</x:v>
      </x:c>
    </x:row>
    <x:row r="420" ht="22" customHeight="1">
      <x:c r="A420" s="2" t="str">
        <x:v>MPV</x:v>
      </x:c>
      <x:c r="B420" s="2" t="str">
        <x:v>H12026</x:v>
      </x:c>
      <x:c r="C420" s="2" t="str">
        <x:v>广汽吉奥</x:v>
      </x:c>
      <x:c r="D420" s="8" t="n">
        <x:v>0</x:v>
      </x:c>
      <x:c r="E420" s="8" t="n">
        <x:v>0</x:v>
      </x:c>
      <x:c r="F420" s="8" t="n">
        <x:f>E420-D420</x:f>
        <x:v>0</x:v>
      </x:c>
      <x:c r="G420" s="9" t="str">
        <x:f>IF(D420=0,"n.a.",F420/D420)</x:f>
        <x:v>n.a.</x:v>
      </x:c>
      <x:c r="H420" s="9" t="n">
        <x:f>D420/SUMIFS($D$6:$D$449,$A$6:$A$449,A420,$B$6:$B$449,B420)</x:f>
        <x:v>0</x:v>
      </x:c>
      <x:c r="I420" s="9" t="n">
        <x:f>E420/SUMIFS($E$6:$E$449,$A$6:$A$449,A420,$B$6:$B$449,B420)</x:f>
        <x:v>0</x:v>
      </x:c>
      <x:c r="J420" s="10" t="n">
        <x:f>(I420-H420)*100</x:f>
        <x:v>0</x:v>
      </x:c>
      <x:c r="K420" s="2"/>
      <x:c r="L420" s="2"/>
      <x:c r="M420" s="2" t="str">
        <x:f>IF(OR(K420="",L420=""),"n.a.",K420-L420)</x:f>
        <x:v>n.a.</x:v>
      </x:c>
    </x:row>
    <x:row r="421" ht="22" customHeight="1">
      <x:c r="A421" s="2" t="str">
        <x:v>MPV</x:v>
      </x:c>
      <x:c r="B421" s="2" t="str">
        <x:v>H12026</x:v>
      </x:c>
      <x:c r="C421" s="2" t="str">
        <x:v>奇瑞</x:v>
      </x:c>
      <x:c r="D421" s="8" t="n">
        <x:v>0</x:v>
      </x:c>
      <x:c r="E421" s="8" t="n">
        <x:v>0</x:v>
      </x:c>
      <x:c r="F421" s="8" t="n">
        <x:f>E421-D421</x:f>
        <x:v>0</x:v>
      </x:c>
      <x:c r="G421" s="9" t="str">
        <x:f>IF(D421=0,"n.a.",F421/D421)</x:f>
        <x:v>n.a.</x:v>
      </x:c>
      <x:c r="H421" s="9" t="n">
        <x:f>D421/SUMIFS($D$6:$D$449,$A$6:$A$449,A421,$B$6:$B$449,B421)</x:f>
        <x:v>0</x:v>
      </x:c>
      <x:c r="I421" s="9" t="n">
        <x:f>E421/SUMIFS($E$6:$E$449,$A$6:$A$449,A421,$B$6:$B$449,B421)</x:f>
        <x:v>0</x:v>
      </x:c>
      <x:c r="J421" s="10" t="n">
        <x:f>(I421-H421)*100</x:f>
        <x:v>0</x:v>
      </x:c>
      <x:c r="K421" s="2"/>
      <x:c r="L421" s="2"/>
      <x:c r="M421" s="2" t="str">
        <x:f>IF(OR(K421="",L421=""),"n.a.",K421-L421)</x:f>
        <x:v>n.a.</x:v>
      </x:c>
    </x:row>
    <x:row r="422" ht="22" customHeight="1">
      <x:c r="A422" s="2" t="str">
        <x:v>MPV</x:v>
      </x:c>
      <x:c r="B422" s="2" t="str">
        <x:v>H12026</x:v>
      </x:c>
      <x:c r="C422" s="2" t="str">
        <x:v>北汽昌河</x:v>
      </x:c>
      <x:c r="D422" s="8" t="n">
        <x:v>0</x:v>
      </x:c>
      <x:c r="E422" s="8" t="n">
        <x:v>0</x:v>
      </x:c>
      <x:c r="F422" s="8" t="n">
        <x:f>E422-D422</x:f>
        <x:v>0</x:v>
      </x:c>
      <x:c r="G422" s="9" t="str">
        <x:f>IF(D422=0,"n.a.",F422/D422)</x:f>
        <x:v>n.a.</x:v>
      </x:c>
      <x:c r="H422" s="9" t="n">
        <x:f>D422/SUMIFS($D$6:$D$449,$A$6:$A$449,A422,$B$6:$B$449,B422)</x:f>
        <x:v>0</x:v>
      </x:c>
      <x:c r="I422" s="9" t="n">
        <x:f>E422/SUMIFS($E$6:$E$449,$A$6:$A$449,A422,$B$6:$B$449,B422)</x:f>
        <x:v>0</x:v>
      </x:c>
      <x:c r="J422" s="10" t="n">
        <x:f>(I422-H422)*100</x:f>
        <x:v>0</x:v>
      </x:c>
      <x:c r="K422" s="2"/>
      <x:c r="L422" s="2"/>
      <x:c r="M422" s="2" t="str">
        <x:f>IF(OR(K422="",L422=""),"n.a.",K422-L422)</x:f>
        <x:v>n.a.</x:v>
      </x:c>
    </x:row>
    <x:row r="423" ht="22" customHeight="1">
      <x:c r="A423" s="2" t="str">
        <x:v>MPV</x:v>
      </x:c>
      <x:c r="B423" s="2" t="str">
        <x:v>H12026</x:v>
      </x:c>
      <x:c r="C423" s="2" t="str">
        <x:v>华颂</x:v>
      </x:c>
      <x:c r="D423" s="8" t="n">
        <x:v>0</x:v>
      </x:c>
      <x:c r="E423" s="8" t="n">
        <x:v>0</x:v>
      </x:c>
      <x:c r="F423" s="8" t="n">
        <x:f>E423-D423</x:f>
        <x:v>0</x:v>
      </x:c>
      <x:c r="G423" s="9" t="str">
        <x:f>IF(D423=0,"n.a.",F423/D423)</x:f>
        <x:v>n.a.</x:v>
      </x:c>
      <x:c r="H423" s="9" t="n">
        <x:f>D423/SUMIFS($D$6:$D$449,$A$6:$A$449,A423,$B$6:$B$449,B423)</x:f>
        <x:v>0</x:v>
      </x:c>
      <x:c r="I423" s="9" t="n">
        <x:f>E423/SUMIFS($E$6:$E$449,$A$6:$A$449,A423,$B$6:$B$449,B423)</x:f>
        <x:v>0</x:v>
      </x:c>
      <x:c r="J423" s="10" t="n">
        <x:f>(I423-H423)*100</x:f>
        <x:v>0</x:v>
      </x:c>
      <x:c r="K423" s="2"/>
      <x:c r="L423" s="2"/>
      <x:c r="M423" s="2" t="str">
        <x:f>IF(OR(K423="",L423=""),"n.a.",K423-L423)</x:f>
        <x:v>n.a.</x:v>
      </x:c>
    </x:row>
    <x:row r="424" ht="22" customHeight="1">
      <x:c r="A424" s="2" t="str">
        <x:v>MPV</x:v>
      </x:c>
      <x:c r="B424" s="2" t="str">
        <x:v>H12026</x:v>
      </x:c>
      <x:c r="C424" s="2" t="str">
        <x:v>北汽幻速</x:v>
      </x:c>
      <x:c r="D424" s="8" t="n">
        <x:v>0</x:v>
      </x:c>
      <x:c r="E424" s="8" t="n">
        <x:v>0</x:v>
      </x:c>
      <x:c r="F424" s="8" t="n">
        <x:f>E424-D424</x:f>
        <x:v>0</x:v>
      </x:c>
      <x:c r="G424" s="9" t="str">
        <x:f>IF(D424=0,"n.a.",F424/D424)</x:f>
        <x:v>n.a.</x:v>
      </x:c>
      <x:c r="H424" s="9" t="n">
        <x:f>D424/SUMIFS($D$6:$D$449,$A$6:$A$449,A424,$B$6:$B$449,B424)</x:f>
        <x:v>0</x:v>
      </x:c>
      <x:c r="I424" s="9" t="n">
        <x:f>E424/SUMIFS($E$6:$E$449,$A$6:$A$449,A424,$B$6:$B$449,B424)</x:f>
        <x:v>0</x:v>
      </x:c>
      <x:c r="J424" s="10" t="n">
        <x:f>(I424-H424)*100</x:f>
        <x:v>0</x:v>
      </x:c>
      <x:c r="K424" s="2"/>
      <x:c r="L424" s="2"/>
      <x:c r="M424" s="2" t="str">
        <x:f>IF(OR(K424="",L424=""),"n.a.",K424-L424)</x:f>
        <x:v>n.a.</x:v>
      </x:c>
    </x:row>
    <x:row r="425" ht="22" customHeight="1">
      <x:c r="A425" s="2" t="str">
        <x:v>MPV</x:v>
      </x:c>
      <x:c r="B425" s="2" t="str">
        <x:v>H12026</x:v>
      </x:c>
      <x:c r="C425" s="2" t="str">
        <x:v>北汽威旺</x:v>
      </x:c>
      <x:c r="D425" s="8" t="n">
        <x:v>0</x:v>
      </x:c>
      <x:c r="E425" s="8" t="n">
        <x:v>0</x:v>
      </x:c>
      <x:c r="F425" s="8" t="n">
        <x:f>E425-D425</x:f>
        <x:v>0</x:v>
      </x:c>
      <x:c r="G425" s="9" t="str">
        <x:f>IF(D425=0,"n.a.",F425/D425)</x:f>
        <x:v>n.a.</x:v>
      </x:c>
      <x:c r="H425" s="9" t="n">
        <x:f>D425/SUMIFS($D$6:$D$449,$A$6:$A$449,A425,$B$6:$B$449,B425)</x:f>
        <x:v>0</x:v>
      </x:c>
      <x:c r="I425" s="9" t="n">
        <x:f>E425/SUMIFS($E$6:$E$449,$A$6:$A$449,A425,$B$6:$B$449,B425)</x:f>
        <x:v>0</x:v>
      </x:c>
      <x:c r="J425" s="10" t="n">
        <x:f>(I425-H425)*100</x:f>
        <x:v>0</x:v>
      </x:c>
      <x:c r="K425" s="2"/>
      <x:c r="L425" s="2"/>
      <x:c r="M425" s="2" t="str">
        <x:f>IF(OR(K425="",L425=""),"n.a.",K425-L425)</x:f>
        <x:v>n.a.</x:v>
      </x:c>
    </x:row>
    <x:row r="426" ht="22" customHeight="1">
      <x:c r="A426" s="2" t="str">
        <x:v>MPV</x:v>
      </x:c>
      <x:c r="B426" s="2" t="str">
        <x:v>H12026</x:v>
      </x:c>
      <x:c r="C426" s="2" t="str">
        <x:v>三菱</x:v>
      </x:c>
      <x:c r="D426" s="8" t="n">
        <x:v>0</x:v>
      </x:c>
      <x:c r="E426" s="8" t="n">
        <x:v>0</x:v>
      </x:c>
      <x:c r="F426" s="8" t="n">
        <x:f>E426-D426</x:f>
        <x:v>0</x:v>
      </x:c>
      <x:c r="G426" s="9" t="str">
        <x:f>IF(D426=0,"n.a.",F426/D426)</x:f>
        <x:v>n.a.</x:v>
      </x:c>
      <x:c r="H426" s="9" t="n">
        <x:f>D426/SUMIFS($D$6:$D$449,$A$6:$A$449,A426,$B$6:$B$449,B426)</x:f>
        <x:v>0</x:v>
      </x:c>
      <x:c r="I426" s="9" t="n">
        <x:f>E426/SUMIFS($E$6:$E$449,$A$6:$A$449,A426,$B$6:$B$449,B426)</x:f>
        <x:v>0</x:v>
      </x:c>
      <x:c r="J426" s="10" t="n">
        <x:f>(I426-H426)*100</x:f>
        <x:v>0</x:v>
      </x:c>
      <x:c r="K426" s="2"/>
      <x:c r="L426" s="2"/>
      <x:c r="M426" s="2" t="str">
        <x:f>IF(OR(K426="",L426=""),"n.a.",K426-L426)</x:f>
        <x:v>n.a.</x:v>
      </x:c>
    </x:row>
    <x:row r="427" ht="22" customHeight="1">
      <x:c r="A427" s="2" t="str">
        <x:v>MPV</x:v>
      </x:c>
      <x:c r="B427" s="2" t="str">
        <x:v>H12026</x:v>
      </x:c>
      <x:c r="C427" s="2" t="str">
        <x:v>东风小康</x:v>
      </x:c>
      <x:c r="D427" s="8" t="n">
        <x:v>0</x:v>
      </x:c>
      <x:c r="E427" s="8" t="n">
        <x:v>0</x:v>
      </x:c>
      <x:c r="F427" s="8" t="n">
        <x:f>E427-D427</x:f>
        <x:v>0</x:v>
      </x:c>
      <x:c r="G427" s="9" t="str">
        <x:f>IF(D427=0,"n.a.",F427/D427)</x:f>
        <x:v>n.a.</x:v>
      </x:c>
      <x:c r="H427" s="9" t="n">
        <x:f>D427/SUMIFS($D$6:$D$449,$A$6:$A$449,A427,$B$6:$B$449,B427)</x:f>
        <x:v>0</x:v>
      </x:c>
      <x:c r="I427" s="9" t="n">
        <x:f>E427/SUMIFS($E$6:$E$449,$A$6:$A$449,A427,$B$6:$B$449,B427)</x:f>
        <x:v>0</x:v>
      </x:c>
      <x:c r="J427" s="10" t="n">
        <x:f>(I427-H427)*100</x:f>
        <x:v>0</x:v>
      </x:c>
      <x:c r="K427" s="2"/>
      <x:c r="L427" s="2"/>
      <x:c r="M427" s="2" t="str">
        <x:f>IF(OR(K427="",L427=""),"n.a.",K427-L427)</x:f>
        <x:v>n.a.</x:v>
      </x:c>
    </x:row>
    <x:row r="428" ht="22" customHeight="1">
      <x:c r="A428" s="2" t="str">
        <x:v>MPV</x:v>
      </x:c>
      <x:c r="B428" s="2" t="str">
        <x:v>H12026</x:v>
      </x:c>
      <x:c r="C428" s="2" t="str">
        <x:v>SWM斯威汽车</x:v>
      </x:c>
      <x:c r="D428" s="8" t="n">
        <x:v>0</x:v>
      </x:c>
      <x:c r="E428" s="8" t="n">
        <x:v>0</x:v>
      </x:c>
      <x:c r="F428" s="8" t="n">
        <x:f>E428-D428</x:f>
        <x:v>0</x:v>
      </x:c>
      <x:c r="G428" s="9" t="str">
        <x:f>IF(D428=0,"n.a.",F428/D428)</x:f>
        <x:v>n.a.</x:v>
      </x:c>
      <x:c r="H428" s="9" t="n">
        <x:f>D428/SUMIFS($D$6:$D$449,$A$6:$A$449,A428,$B$6:$B$449,B428)</x:f>
        <x:v>0</x:v>
      </x:c>
      <x:c r="I428" s="9" t="n">
        <x:f>E428/SUMIFS($E$6:$E$449,$A$6:$A$449,A428,$B$6:$B$449,B428)</x:f>
        <x:v>0</x:v>
      </x:c>
      <x:c r="J428" s="10" t="n">
        <x:f>(I428-H428)*100</x:f>
        <x:v>0</x:v>
      </x:c>
      <x:c r="K428" s="2"/>
      <x:c r="L428" s="2"/>
      <x:c r="M428" s="2" t="str">
        <x:f>IF(OR(K428="",L428=""),"n.a.",K428-L428)</x:f>
        <x:v>n.a.</x:v>
      </x:c>
    </x:row>
    <x:row r="429" ht="22" customHeight="1">
      <x:c r="A429" s="2" t="str">
        <x:v>MPV</x:v>
      </x:c>
      <x:c r="B429" s="2" t="str">
        <x:v>H12026</x:v>
      </x:c>
      <x:c r="C429" s="2" t="str">
        <x:v>一汽</x:v>
      </x:c>
      <x:c r="D429" s="8" t="n">
        <x:v>0</x:v>
      </x:c>
      <x:c r="E429" s="8" t="n">
        <x:v>0</x:v>
      </x:c>
      <x:c r="F429" s="8" t="n">
        <x:f>E429-D429</x:f>
        <x:v>0</x:v>
      </x:c>
      <x:c r="G429" s="9" t="str">
        <x:f>IF(D429=0,"n.a.",F429/D429)</x:f>
        <x:v>n.a.</x:v>
      </x:c>
      <x:c r="H429" s="9" t="n">
        <x:f>D429/SUMIFS($D$6:$D$449,$A$6:$A$449,A429,$B$6:$B$449,B429)</x:f>
        <x:v>0</x:v>
      </x:c>
      <x:c r="I429" s="9" t="n">
        <x:f>E429/SUMIFS($E$6:$E$449,$A$6:$A$449,A429,$B$6:$B$449,B429)</x:f>
        <x:v>0</x:v>
      </x:c>
      <x:c r="J429" s="10" t="n">
        <x:f>(I429-H429)*100</x:f>
        <x:v>0</x:v>
      </x:c>
      <x:c r="K429" s="2"/>
      <x:c r="L429" s="2"/>
      <x:c r="M429" s="2" t="str">
        <x:f>IF(OR(K429="",L429=""),"n.a.",K429-L429)</x:f>
        <x:v>n.a.</x:v>
      </x:c>
    </x:row>
    <x:row r="430" ht="22" customHeight="1">
      <x:c r="A430" s="2" t="str">
        <x:v>MPV</x:v>
      </x:c>
      <x:c r="B430" s="2" t="str">
        <x:v>H12026</x:v>
      </x:c>
      <x:c r="C430" s="2" t="str">
        <x:v>东风</x:v>
      </x:c>
      <x:c r="D430" s="8" t="n">
        <x:v>0</x:v>
      </x:c>
      <x:c r="E430" s="8" t="n">
        <x:v>0</x:v>
      </x:c>
      <x:c r="F430" s="8" t="n">
        <x:f>E430-D430</x:f>
        <x:v>0</x:v>
      </x:c>
      <x:c r="G430" s="9" t="str">
        <x:f>IF(D430=0,"n.a.",F430/D430)</x:f>
        <x:v>n.a.</x:v>
      </x:c>
      <x:c r="H430" s="9" t="n">
        <x:f>D430/SUMIFS($D$6:$D$449,$A$6:$A$449,A430,$B$6:$B$449,B430)</x:f>
        <x:v>0</x:v>
      </x:c>
      <x:c r="I430" s="9" t="n">
        <x:f>E430/SUMIFS($E$6:$E$449,$A$6:$A$449,A430,$B$6:$B$449,B430)</x:f>
        <x:v>0</x:v>
      </x:c>
      <x:c r="J430" s="10" t="n">
        <x:f>(I430-H430)*100</x:f>
        <x:v>0</x:v>
      </x:c>
      <x:c r="K430" s="2"/>
      <x:c r="L430" s="2"/>
      <x:c r="M430" s="2" t="str">
        <x:f>IF(OR(K430="",L430=""),"n.a.",K430-L430)</x:f>
        <x:v>n.a.</x:v>
      </x:c>
    </x:row>
    <x:row r="431" ht="22" customHeight="1">
      <x:c r="A431" s="2" t="str">
        <x:v>MPV</x:v>
      </x:c>
      <x:c r="B431" s="2" t="str">
        <x:v>H12026</x:v>
      </x:c>
      <x:c r="C431" s="2" t="str">
        <x:v>力帆</x:v>
      </x:c>
      <x:c r="D431" s="8" t="n">
        <x:v>0</x:v>
      </x:c>
      <x:c r="E431" s="8" t="n">
        <x:v>0</x:v>
      </x:c>
      <x:c r="F431" s="8" t="n">
        <x:f>E431-D431</x:f>
        <x:v>0</x:v>
      </x:c>
      <x:c r="G431" s="9" t="str">
        <x:f>IF(D431=0,"n.a.",F431/D431)</x:f>
        <x:v>n.a.</x:v>
      </x:c>
      <x:c r="H431" s="9" t="n">
        <x:f>D431/SUMIFS($D$6:$D$449,$A$6:$A$449,A431,$B$6:$B$449,B431)</x:f>
        <x:v>0</x:v>
      </x:c>
      <x:c r="I431" s="9" t="n">
        <x:f>E431/SUMIFS($E$6:$E$449,$A$6:$A$449,A431,$B$6:$B$449,B431)</x:f>
        <x:v>0</x:v>
      </x:c>
      <x:c r="J431" s="10" t="n">
        <x:f>(I431-H431)*100</x:f>
        <x:v>0</x:v>
      </x:c>
      <x:c r="K431" s="2"/>
      <x:c r="L431" s="2"/>
      <x:c r="M431" s="2" t="str">
        <x:f>IF(OR(K431="",L431=""),"n.a.",K431-L431)</x:f>
        <x:v>n.a.</x:v>
      </x:c>
    </x:row>
    <x:row r="432" ht="22" customHeight="1">
      <x:c r="A432" s="2" t="str">
        <x:v>MPV</x:v>
      </x:c>
      <x:c r="B432" s="2" t="str">
        <x:v>H12026</x:v>
      </x:c>
      <x:c r="C432" s="2" t="str">
        <x:v>合创汽车</x:v>
      </x:c>
      <x:c r="D432" s="8" t="n">
        <x:v>62</x:v>
      </x:c>
      <x:c r="E432" s="8" t="n">
        <x:v>0</x:v>
      </x:c>
      <x:c r="F432" s="8" t="n">
        <x:f>E432-D432</x:f>
        <x:v>-62</x:v>
      </x:c>
      <x:c r="G432" s="9" t="n">
        <x:f>IF(D432=0,"n.a.",F432/D432)</x:f>
        <x:v>-1</x:v>
      </x:c>
      <x:c r="H432" s="9" t="n">
        <x:f>D432/SUMIFS($D$6:$D$449,$A$6:$A$449,A432,$B$6:$B$449,B432)</x:f>
        <x:v>0.00013929328875948092</x:v>
      </x:c>
      <x:c r="I432" s="9" t="n">
        <x:f>E432/SUMIFS($E$6:$E$449,$A$6:$A$449,A432,$B$6:$B$449,B432)</x:f>
        <x:v>0</x:v>
      </x:c>
      <x:c r="J432" s="10" t="n">
        <x:f>(I432-H432)*100</x:f>
        <x:v>-0.013929328875948093</x:v>
      </x:c>
      <x:c r="K432" s="2" t="n">
        <x:v>28</x:v>
      </x:c>
      <x:c r="L432" s="2"/>
      <x:c r="M432" s="2" t="str">
        <x:f>IF(OR(K432="",L432=""),"n.a.",K432-L432)</x:f>
        <x:v>n.a.</x:v>
      </x:c>
    </x:row>
    <x:row r="433" ht="22" customHeight="1">
      <x:c r="A433" s="2" t="str">
        <x:v>MPV</x:v>
      </x:c>
      <x:c r="B433" s="2" t="str">
        <x:v>H12026</x:v>
      </x:c>
      <x:c r="C433" s="2" t="str">
        <x:v>启辰</x:v>
      </x:c>
      <x:c r="D433" s="8" t="n">
        <x:v>0</x:v>
      </x:c>
      <x:c r="E433" s="8" t="n">
        <x:v>0</x:v>
      </x:c>
      <x:c r="F433" s="8" t="n">
        <x:f>E433-D433</x:f>
        <x:v>0</x:v>
      </x:c>
      <x:c r="G433" s="9" t="str">
        <x:f>IF(D433=0,"n.a.",F433/D433)</x:f>
        <x:v>n.a.</x:v>
      </x:c>
      <x:c r="H433" s="9" t="n">
        <x:f>D433/SUMIFS($D$6:$D$449,$A$6:$A$449,A433,$B$6:$B$449,B433)</x:f>
        <x:v>0</x:v>
      </x:c>
      <x:c r="I433" s="9" t="n">
        <x:f>E433/SUMIFS($E$6:$E$449,$A$6:$A$449,A433,$B$6:$B$449,B433)</x:f>
        <x:v>0</x:v>
      </x:c>
      <x:c r="J433" s="10" t="n">
        <x:f>(I433-H433)*100</x:f>
        <x:v>0</x:v>
      </x:c>
      <x:c r="K433" s="2"/>
      <x:c r="L433" s="2"/>
      <x:c r="M433" s="2" t="str">
        <x:f>IF(OR(K433="",L433=""),"n.a.",K433-L433)</x:f>
        <x:v>n.a.</x:v>
      </x:c>
    </x:row>
    <x:row r="434" ht="22" customHeight="1">
      <x:c r="A434" s="2" t="str">
        <x:v>MPV</x:v>
      </x:c>
      <x:c r="B434" s="2" t="str">
        <x:v>H12026</x:v>
      </x:c>
      <x:c r="C434" s="2" t="str">
        <x:v>福田</x:v>
      </x:c>
      <x:c r="D434" s="8" t="n">
        <x:v>0</x:v>
      </x:c>
      <x:c r="E434" s="8" t="n">
        <x:v>0</x:v>
      </x:c>
      <x:c r="F434" s="8" t="n">
        <x:f>E434-D434</x:f>
        <x:v>0</x:v>
      </x:c>
      <x:c r="G434" s="9" t="str">
        <x:f>IF(D434=0,"n.a.",F434/D434)</x:f>
        <x:v>n.a.</x:v>
      </x:c>
      <x:c r="H434" s="9" t="n">
        <x:f>D434/SUMIFS($D$6:$D$449,$A$6:$A$449,A434,$B$6:$B$449,B434)</x:f>
        <x:v>0</x:v>
      </x:c>
      <x:c r="I434" s="9" t="n">
        <x:f>E434/SUMIFS($E$6:$E$449,$A$6:$A$449,A434,$B$6:$B$449,B434)</x:f>
        <x:v>0</x:v>
      </x:c>
      <x:c r="J434" s="10" t="n">
        <x:f>(I434-H434)*100</x:f>
        <x:v>0</x:v>
      </x:c>
      <x:c r="K434" s="2"/>
      <x:c r="L434" s="2"/>
      <x:c r="M434" s="2" t="str">
        <x:f>IF(OR(K434="",L434=""),"n.a.",K434-L434)</x:f>
        <x:v>n.a.</x:v>
      </x:c>
    </x:row>
    <x:row r="435" ht="22" customHeight="1">
      <x:c r="A435" s="2" t="str">
        <x:v>MPV</x:v>
      </x:c>
      <x:c r="B435" s="2" t="str">
        <x:v>H12026</x:v>
      </x:c>
      <x:c r="C435" s="2" t="str">
        <x:v>海马</x:v>
      </x:c>
      <x:c r="D435" s="8" t="n">
        <x:v>0</x:v>
      </x:c>
      <x:c r="E435" s="8" t="n">
        <x:v>0</x:v>
      </x:c>
      <x:c r="F435" s="8" t="n">
        <x:f>E435-D435</x:f>
        <x:v>0</x:v>
      </x:c>
      <x:c r="G435" s="9" t="str">
        <x:f>IF(D435=0,"n.a.",F435/D435)</x:f>
        <x:v>n.a.</x:v>
      </x:c>
      <x:c r="H435" s="9" t="n">
        <x:f>D435/SUMIFS($D$6:$D$449,$A$6:$A$449,A435,$B$6:$B$449,B435)</x:f>
        <x:v>0</x:v>
      </x:c>
      <x:c r="I435" s="9" t="n">
        <x:f>E435/SUMIFS($E$6:$E$449,$A$6:$A$449,A435,$B$6:$B$449,B435)</x:f>
        <x:v>0</x:v>
      </x:c>
      <x:c r="J435" s="10" t="n">
        <x:f>(I435-H435)*100</x:f>
        <x:v>0</x:v>
      </x:c>
      <x:c r="K435" s="2"/>
      <x:c r="L435" s="2"/>
      <x:c r="M435" s="2" t="str">
        <x:f>IF(OR(K435="",L435=""),"n.a.",K435-L435)</x:f>
        <x:v>n.a.</x:v>
      </x:c>
    </x:row>
    <x:row r="436" ht="22" customHeight="1">
      <x:c r="A436" s="2" t="str">
        <x:v>MPV</x:v>
      </x:c>
      <x:c r="B436" s="2" t="str">
        <x:v>H12026</x:v>
      </x:c>
      <x:c r="C436" s="2" t="str">
        <x:v>汉腾</x:v>
      </x:c>
      <x:c r="D436" s="8" t="n">
        <x:v>0</x:v>
      </x:c>
      <x:c r="E436" s="8" t="n">
        <x:v>0</x:v>
      </x:c>
      <x:c r="F436" s="8" t="n">
        <x:f>E436-D436</x:f>
        <x:v>0</x:v>
      </x:c>
      <x:c r="G436" s="9" t="str">
        <x:f>IF(D436=0,"n.a.",F436/D436)</x:f>
        <x:v>n.a.</x:v>
      </x:c>
      <x:c r="H436" s="9" t="n">
        <x:f>D436/SUMIFS($D$6:$D$449,$A$6:$A$449,A436,$B$6:$B$449,B436)</x:f>
        <x:v>0</x:v>
      </x:c>
      <x:c r="I436" s="9" t="n">
        <x:f>E436/SUMIFS($E$6:$E$449,$A$6:$A$449,A436,$B$6:$B$449,B436)</x:f>
        <x:v>0</x:v>
      </x:c>
      <x:c r="J436" s="10" t="n">
        <x:f>(I436-H436)*100</x:f>
        <x:v>0</x:v>
      </x:c>
      <x:c r="K436" s="2"/>
      <x:c r="L436" s="2"/>
      <x:c r="M436" s="2" t="str">
        <x:f>IF(OR(K436="",L436=""),"n.a.",K436-L436)</x:f>
        <x:v>n.a.</x:v>
      </x:c>
    </x:row>
    <x:row r="437" ht="22" customHeight="1">
      <x:c r="A437" s="2" t="str">
        <x:v>MPV</x:v>
      </x:c>
      <x:c r="B437" s="2" t="str">
        <x:v>H12026</x:v>
      </x:c>
      <x:c r="C437" s="2" t="str">
        <x:v>日产</x:v>
      </x:c>
      <x:c r="D437" s="8" t="n">
        <x:v>0</x:v>
      </x:c>
      <x:c r="E437" s="8" t="n">
        <x:v>0</x:v>
      </x:c>
      <x:c r="F437" s="8" t="n">
        <x:f>E437-D437</x:f>
        <x:v>0</x:v>
      </x:c>
      <x:c r="G437" s="9" t="str">
        <x:f>IF(D437=0,"n.a.",F437/D437)</x:f>
        <x:v>n.a.</x:v>
      </x:c>
      <x:c r="H437" s="9" t="n">
        <x:f>D437/SUMIFS($D$6:$D$449,$A$6:$A$449,A437,$B$6:$B$449,B437)</x:f>
        <x:v>0</x:v>
      </x:c>
      <x:c r="I437" s="9" t="n">
        <x:f>E437/SUMIFS($E$6:$E$449,$A$6:$A$449,A437,$B$6:$B$449,B437)</x:f>
        <x:v>0</x:v>
      </x:c>
      <x:c r="J437" s="10" t="n">
        <x:f>(I437-H437)*100</x:f>
        <x:v>0</x:v>
      </x:c>
      <x:c r="K437" s="2"/>
      <x:c r="L437" s="2"/>
      <x:c r="M437" s="2" t="str">
        <x:f>IF(OR(K437="",L437=""),"n.a.",K437-L437)</x:f>
        <x:v>n.a.</x:v>
      </x:c>
    </x:row>
    <x:row r="438" ht="22" customHeight="1">
      <x:c r="A438" s="2" t="str">
        <x:v>MPV</x:v>
      </x:c>
      <x:c r="B438" s="2" t="str">
        <x:v>H12026</x:v>
      </x:c>
      <x:c r="C438" s="2" t="str">
        <x:v>开瑞</x:v>
      </x:c>
      <x:c r="D438" s="8" t="n">
        <x:v>0</x:v>
      </x:c>
      <x:c r="E438" s="8" t="n">
        <x:v>0</x:v>
      </x:c>
      <x:c r="F438" s="8" t="n">
        <x:f>E438-D438</x:f>
        <x:v>0</x:v>
      </x:c>
      <x:c r="G438" s="9" t="str">
        <x:f>IF(D438=0,"n.a.",F438/D438)</x:f>
        <x:v>n.a.</x:v>
      </x:c>
      <x:c r="H438" s="9" t="n">
        <x:f>D438/SUMIFS($D$6:$D$449,$A$6:$A$449,A438,$B$6:$B$449,B438)</x:f>
        <x:v>0</x:v>
      </x:c>
      <x:c r="I438" s="9" t="n">
        <x:f>E438/SUMIFS($E$6:$E$449,$A$6:$A$449,A438,$B$6:$B$449,B438)</x:f>
        <x:v>0</x:v>
      </x:c>
      <x:c r="J438" s="10" t="n">
        <x:f>(I438-H438)*100</x:f>
        <x:v>0</x:v>
      </x:c>
      <x:c r="K438" s="2"/>
      <x:c r="L438" s="2"/>
      <x:c r="M438" s="2" t="str">
        <x:f>IF(OR(K438="",L438=""),"n.a.",K438-L438)</x:f>
        <x:v>n.a.</x:v>
      </x:c>
    </x:row>
    <x:row r="439" ht="22" customHeight="1">
      <x:c r="A439" s="2" t="str">
        <x:v>MPV</x:v>
      </x:c>
      <x:c r="B439" s="2" t="str">
        <x:v>H12026</x:v>
      </x:c>
      <x:c r="C439" s="2" t="str">
        <x:v>比速汽车</x:v>
      </x:c>
      <x:c r="D439" s="8" t="n">
        <x:v>0</x:v>
      </x:c>
      <x:c r="E439" s="8" t="n">
        <x:v>0</x:v>
      </x:c>
      <x:c r="F439" s="8" t="n">
        <x:f>E439-D439</x:f>
        <x:v>0</x:v>
      </x:c>
      <x:c r="G439" s="9" t="str">
        <x:f>IF(D439=0,"n.a.",F439/D439)</x:f>
        <x:v>n.a.</x:v>
      </x:c>
      <x:c r="H439" s="9" t="n">
        <x:f>D439/SUMIFS($D$6:$D$449,$A$6:$A$449,A439,$B$6:$B$449,B439)</x:f>
        <x:v>0</x:v>
      </x:c>
      <x:c r="I439" s="9" t="n">
        <x:f>E439/SUMIFS($E$6:$E$449,$A$6:$A$449,A439,$B$6:$B$449,B439)</x:f>
        <x:v>0</x:v>
      </x:c>
      <x:c r="J439" s="10" t="n">
        <x:f>(I439-H439)*100</x:f>
        <x:v>0</x:v>
      </x:c>
      <x:c r="K439" s="2"/>
      <x:c r="L439" s="2"/>
      <x:c r="M439" s="2" t="str">
        <x:f>IF(OR(K439="",L439=""),"n.a.",K439-L439)</x:f>
        <x:v>n.a.</x:v>
      </x:c>
    </x:row>
    <x:row r="440" ht="22" customHeight="1">
      <x:c r="A440" s="2" t="str">
        <x:v>MPV</x:v>
      </x:c>
      <x:c r="B440" s="2" t="str">
        <x:v>H12026</x:v>
      </x:c>
      <x:c r="C440" s="2" t="str">
        <x:v>江淮</x:v>
      </x:c>
      <x:c r="D440" s="8" t="n">
        <x:v>0</x:v>
      </x:c>
      <x:c r="E440" s="8" t="n">
        <x:v>0</x:v>
      </x:c>
      <x:c r="F440" s="8" t="n">
        <x:f>E440-D440</x:f>
        <x:v>0</x:v>
      </x:c>
      <x:c r="G440" s="9" t="str">
        <x:f>IF(D440=0,"n.a.",F440/D440)</x:f>
        <x:v>n.a.</x:v>
      </x:c>
      <x:c r="H440" s="9" t="n">
        <x:f>D440/SUMIFS($D$6:$D$449,$A$6:$A$449,A440,$B$6:$B$449,B440)</x:f>
        <x:v>0</x:v>
      </x:c>
      <x:c r="I440" s="9" t="n">
        <x:f>E440/SUMIFS($E$6:$E$449,$A$6:$A$449,A440,$B$6:$B$449,B440)</x:f>
        <x:v>0</x:v>
      </x:c>
      <x:c r="J440" s="10" t="n">
        <x:f>(I440-H440)*100</x:f>
        <x:v>0</x:v>
      </x:c>
      <x:c r="K440" s="2"/>
      <x:c r="L440" s="2"/>
      <x:c r="M440" s="2" t="str">
        <x:f>IF(OR(K440="",L440=""),"n.a.",K440-L440)</x:f>
        <x:v>n.a.</x:v>
      </x:c>
    </x:row>
    <x:row r="441" ht="22" customHeight="1">
      <x:c r="A441" s="2" t="str">
        <x:v>MPV</x:v>
      </x:c>
      <x:c r="B441" s="2" t="str">
        <x:v>H12026</x:v>
      </x:c>
      <x:c r="C441" s="2" t="str">
        <x:v>纳智捷</x:v>
      </x:c>
      <x:c r="D441" s="8" t="n">
        <x:v>0</x:v>
      </x:c>
      <x:c r="E441" s="8" t="n">
        <x:v>0</x:v>
      </x:c>
      <x:c r="F441" s="8" t="n">
        <x:f>E441-D441</x:f>
        <x:v>0</x:v>
      </x:c>
      <x:c r="G441" s="9" t="str">
        <x:f>IF(D441=0,"n.a.",F441/D441)</x:f>
        <x:v>n.a.</x:v>
      </x:c>
      <x:c r="H441" s="9" t="n">
        <x:f>D441/SUMIFS($D$6:$D$449,$A$6:$A$449,A441,$B$6:$B$449,B441)</x:f>
        <x:v>0</x:v>
      </x:c>
      <x:c r="I441" s="9" t="n">
        <x:f>E441/SUMIFS($E$6:$E$449,$A$6:$A$449,A441,$B$6:$B$449,B441)</x:f>
        <x:v>0</x:v>
      </x:c>
      <x:c r="J441" s="10" t="n">
        <x:f>(I441-H441)*100</x:f>
        <x:v>0</x:v>
      </x:c>
      <x:c r="K441" s="2"/>
      <x:c r="L441" s="2"/>
      <x:c r="M441" s="2" t="str">
        <x:f>IF(OR(K441="",L441=""),"n.a.",K441-L441)</x:f>
        <x:v>n.a.</x:v>
      </x:c>
    </x:row>
    <x:row r="442" ht="22" customHeight="1">
      <x:c r="A442" s="2" t="str">
        <x:v>MPV</x:v>
      </x:c>
      <x:c r="B442" s="2" t="str">
        <x:v>H12026</x:v>
      </x:c>
      <x:c r="C442" s="2" t="str">
        <x:v>长安</x:v>
      </x:c>
      <x:c r="D442" s="8" t="n">
        <x:v>0</x:v>
      </x:c>
      <x:c r="E442" s="8" t="n">
        <x:v>0</x:v>
      </x:c>
      <x:c r="F442" s="8" t="n">
        <x:f>E442-D442</x:f>
        <x:v>0</x:v>
      </x:c>
      <x:c r="G442" s="9" t="str">
        <x:f>IF(D442=0,"n.a.",F442/D442)</x:f>
        <x:v>n.a.</x:v>
      </x:c>
      <x:c r="H442" s="9" t="n">
        <x:f>D442/SUMIFS($D$6:$D$449,$A$6:$A$449,A442,$B$6:$B$449,B442)</x:f>
        <x:v>0</x:v>
      </x:c>
      <x:c r="I442" s="9" t="n">
        <x:f>E442/SUMIFS($E$6:$E$449,$A$6:$A$449,A442,$B$6:$B$449,B442)</x:f>
        <x:v>0</x:v>
      </x:c>
      <x:c r="J442" s="10" t="n">
        <x:f>(I442-H442)*100</x:f>
        <x:v>0</x:v>
      </x:c>
      <x:c r="K442" s="2"/>
      <x:c r="L442" s="2"/>
      <x:c r="M442" s="2" t="str">
        <x:f>IF(OR(K442="",L442=""),"n.a.",K442-L442)</x:f>
        <x:v>n.a.</x:v>
      </x:c>
    </x:row>
    <x:row r="443" ht="22" customHeight="1">
      <x:c r="A443" s="2" t="str">
        <x:v>MPV</x:v>
      </x:c>
      <x:c r="B443" s="2" t="str">
        <x:v>H12026</x:v>
      </x:c>
      <x:c r="C443" s="2" t="str">
        <x:v>金杯</x:v>
      </x:c>
      <x:c r="D443" s="8" t="n">
        <x:v>0</x:v>
      </x:c>
      <x:c r="E443" s="8" t="n">
        <x:v>0</x:v>
      </x:c>
      <x:c r="F443" s="8" t="n">
        <x:f>E443-D443</x:f>
        <x:v>0</x:v>
      </x:c>
      <x:c r="G443" s="9" t="str">
        <x:f>IF(D443=0,"n.a.",F443/D443)</x:f>
        <x:v>n.a.</x:v>
      </x:c>
      <x:c r="H443" s="9" t="n">
        <x:f>D443/SUMIFS($D$6:$D$449,$A$6:$A$449,A443,$B$6:$B$449,B443)</x:f>
        <x:v>0</x:v>
      </x:c>
      <x:c r="I443" s="9" t="n">
        <x:f>E443/SUMIFS($E$6:$E$449,$A$6:$A$449,A443,$B$6:$B$449,B443)</x:f>
        <x:v>0</x:v>
      </x:c>
      <x:c r="J443" s="10" t="n">
        <x:f>(I443-H443)*100</x:f>
        <x:v>0</x:v>
      </x:c>
      <x:c r="K443" s="2"/>
      <x:c r="L443" s="2"/>
      <x:c r="M443" s="2" t="str">
        <x:f>IF(OR(K443="",L443=""),"n.a.",K443-L443)</x:f>
        <x:v>n.a.</x:v>
      </x:c>
    </x:row>
    <x:row r="444" ht="22" customHeight="1">
      <x:c r="A444" s="2" t="str">
        <x:v>MPV</x:v>
      </x:c>
      <x:c r="B444" s="2" t="str">
        <x:v>H12026</x:v>
      </x:c>
      <x:c r="C444" s="2" t="str">
        <x:v>野马汽车</x:v>
      </x:c>
      <x:c r="D444" s="8" t="n">
        <x:v>0</x:v>
      </x:c>
      <x:c r="E444" s="8" t="n">
        <x:v>0</x:v>
      </x:c>
      <x:c r="F444" s="8" t="n">
        <x:f>E444-D444</x:f>
        <x:v>0</x:v>
      </x:c>
      <x:c r="G444" s="9" t="str">
        <x:f>IF(D444=0,"n.a.",F444/D444)</x:f>
        <x:v>n.a.</x:v>
      </x:c>
      <x:c r="H444" s="9" t="n">
        <x:f>D444/SUMIFS($D$6:$D$449,$A$6:$A$449,A444,$B$6:$B$449,B444)</x:f>
        <x:v>0</x:v>
      </x:c>
      <x:c r="I444" s="9" t="n">
        <x:f>E444/SUMIFS($E$6:$E$449,$A$6:$A$449,A444,$B$6:$B$449,B444)</x:f>
        <x:v>0</x:v>
      </x:c>
      <x:c r="J444" s="10" t="n">
        <x:f>(I444-H444)*100</x:f>
        <x:v>0</x:v>
      </x:c>
      <x:c r="K444" s="2"/>
      <x:c r="L444" s="2"/>
      <x:c r="M444" s="2" t="str">
        <x:f>IF(OR(K444="",L444=""),"n.a.",K444-L444)</x:f>
        <x:v>n.a.</x:v>
      </x:c>
    </x:row>
    <x:row r="445" ht="22" customHeight="1">
      <x:c r="A445" s="2" t="str">
        <x:v>MPV</x:v>
      </x:c>
      <x:c r="B445" s="2" t="str">
        <x:v>H12026</x:v>
      </x:c>
      <x:c r="C445" s="2" t="str">
        <x:v>英致</x:v>
      </x:c>
      <x:c r="D445" s="8" t="n">
        <x:v>0</x:v>
      </x:c>
      <x:c r="E445" s="8" t="n">
        <x:v>0</x:v>
      </x:c>
      <x:c r="F445" s="8" t="n">
        <x:f>E445-D445</x:f>
        <x:v>0</x:v>
      </x:c>
      <x:c r="G445" s="9" t="str">
        <x:f>IF(D445=0,"n.a.",F445/D445)</x:f>
        <x:v>n.a.</x:v>
      </x:c>
      <x:c r="H445" s="9" t="n">
        <x:f>D445/SUMIFS($D$6:$D$449,$A$6:$A$449,A445,$B$6:$B$449,B445)</x:f>
        <x:v>0</x:v>
      </x:c>
      <x:c r="I445" s="9" t="n">
        <x:f>E445/SUMIFS($E$6:$E$449,$A$6:$A$449,A445,$B$6:$B$449,B445)</x:f>
        <x:v>0</x:v>
      </x:c>
      <x:c r="J445" s="10" t="n">
        <x:f>(I445-H445)*100</x:f>
        <x:v>0</x:v>
      </x:c>
      <x:c r="K445" s="2"/>
      <x:c r="L445" s="2"/>
      <x:c r="M445" s="2" t="str">
        <x:f>IF(OR(K445="",L445=""),"n.a.",K445-L445)</x:f>
        <x:v>n.a.</x:v>
      </x:c>
    </x:row>
    <x:row r="446" ht="22" customHeight="1">
      <x:c r="A446" s="2" t="str">
        <x:v>MPV</x:v>
      </x:c>
      <x:c r="B446" s="2" t="str">
        <x:v>H12026</x:v>
      </x:c>
      <x:c r="C446" s="2" t="str">
        <x:v>陆风</x:v>
      </x:c>
      <x:c r="D446" s="8" t="n">
        <x:v>0</x:v>
      </x:c>
      <x:c r="E446" s="8" t="n">
        <x:v>0</x:v>
      </x:c>
      <x:c r="F446" s="8" t="n">
        <x:f>E446-D446</x:f>
        <x:v>0</x:v>
      </x:c>
      <x:c r="G446" s="9" t="str">
        <x:f>IF(D446=0,"n.a.",F446/D446)</x:f>
        <x:v>n.a.</x:v>
      </x:c>
      <x:c r="H446" s="9" t="n">
        <x:f>D446/SUMIFS($D$6:$D$449,$A$6:$A$449,A446,$B$6:$B$449,B446)</x:f>
        <x:v>0</x:v>
      </x:c>
      <x:c r="I446" s="9" t="n">
        <x:f>E446/SUMIFS($E$6:$E$449,$A$6:$A$449,A446,$B$6:$B$449,B446)</x:f>
        <x:v>0</x:v>
      </x:c>
      <x:c r="J446" s="10" t="n">
        <x:f>(I446-H446)*100</x:f>
        <x:v>0</x:v>
      </x:c>
      <x:c r="K446" s="2"/>
      <x:c r="L446" s="2"/>
      <x:c r="M446" s="2" t="str">
        <x:f>IF(OR(K446="",L446=""),"n.a.",K446-L446)</x:f>
        <x:v>n.a.</x:v>
      </x:c>
    </x:row>
    <x:row r="447" ht="22" customHeight="1">
      <x:c r="A447" s="2" t="str">
        <x:v>MPV</x:v>
      </x:c>
      <x:c r="B447" s="2" t="str">
        <x:v>H12026</x:v>
      </x:c>
      <x:c r="C447" s="2" t="str">
        <x:v>陆地方舟</x:v>
      </x:c>
      <x:c r="D447" s="8" t="n">
        <x:v>0</x:v>
      </x:c>
      <x:c r="E447" s="8" t="n">
        <x:v>0</x:v>
      </x:c>
      <x:c r="F447" s="8" t="n">
        <x:f>E447-D447</x:f>
        <x:v>0</x:v>
      </x:c>
      <x:c r="G447" s="9" t="str">
        <x:f>IF(D447=0,"n.a.",F447/D447)</x:f>
        <x:v>n.a.</x:v>
      </x:c>
      <x:c r="H447" s="9" t="n">
        <x:f>D447/SUMIFS($D$6:$D$449,$A$6:$A$449,A447,$B$6:$B$449,B447)</x:f>
        <x:v>0</x:v>
      </x:c>
      <x:c r="I447" s="9" t="n">
        <x:f>E447/SUMIFS($E$6:$E$449,$A$6:$A$449,A447,$B$6:$B$449,B447)</x:f>
        <x:v>0</x:v>
      </x:c>
      <x:c r="J447" s="10" t="n">
        <x:f>(I447-H447)*100</x:f>
        <x:v>0</x:v>
      </x:c>
      <x:c r="K447" s="2"/>
      <x:c r="L447" s="2"/>
      <x:c r="M447" s="2" t="str">
        <x:f>IF(OR(K447="",L447=""),"n.a.",K447-L447)</x:f>
        <x:v>n.a.</x:v>
      </x:c>
    </x:row>
    <x:row r="448" ht="22" customHeight="1">
      <x:c r="A448" s="2" t="str">
        <x:v>MPV</x:v>
      </x:c>
      <x:c r="B448" s="2" t="str">
        <x:v>H12026</x:v>
      </x:c>
      <x:c r="C448" s="2" t="str">
        <x:v>长安欧尚</x:v>
      </x:c>
      <x:c r="D448" s="8" t="n">
        <x:v>0</x:v>
      </x:c>
      <x:c r="E448" s="8" t="n">
        <x:v>0</x:v>
      </x:c>
      <x:c r="F448" s="8" t="n">
        <x:f>E448-D448</x:f>
        <x:v>0</x:v>
      </x:c>
      <x:c r="G448" s="9" t="str">
        <x:f>IF(D448=0,"n.a.",F448/D448)</x:f>
        <x:v>n.a.</x:v>
      </x:c>
      <x:c r="H448" s="9" t="n">
        <x:f>D448/SUMIFS($D$6:$D$449,$A$6:$A$449,A448,$B$6:$B$449,B448)</x:f>
        <x:v>0</x:v>
      </x:c>
      <x:c r="I448" s="9" t="n">
        <x:f>E448/SUMIFS($E$6:$E$449,$A$6:$A$449,A448,$B$6:$B$449,B448)</x:f>
        <x:v>0</x:v>
      </x:c>
      <x:c r="J448" s="10" t="n">
        <x:f>(I448-H448)*100</x:f>
        <x:v>0</x:v>
      </x:c>
      <x:c r="K448" s="2"/>
      <x:c r="L448" s="2"/>
      <x:c r="M448" s="2" t="str">
        <x:f>IF(OR(K448="",L448=""),"n.a.",K448-L448)</x:f>
        <x:v>n.a.</x:v>
      </x:c>
    </x:row>
    <x:row r="449" ht="22" customHeight="1">
      <x:c r="A449" s="2" t="str">
        <x:v>MPV</x:v>
      </x:c>
      <x:c r="B449" s="2" t="str">
        <x:v>H12026</x:v>
      </x:c>
      <x:c r="C449" s="2" t="str">
        <x:v>马自达</x:v>
      </x:c>
      <x:c r="D449" s="8" t="n">
        <x:v>0</x:v>
      </x:c>
      <x:c r="E449" s="8" t="n">
        <x:v>0</x:v>
      </x:c>
      <x:c r="F449" s="8" t="n">
        <x:f>E449-D449</x:f>
        <x:v>0</x:v>
      </x:c>
      <x:c r="G449" s="9" t="str">
        <x:f>IF(D449=0,"n.a.",F449/D449)</x:f>
        <x:v>n.a.</x:v>
      </x:c>
      <x:c r="H449" s="9" t="n">
        <x:f>D449/SUMIFS($D$6:$D$449,$A$6:$A$449,A449,$B$6:$B$449,B449)</x:f>
        <x:v>0</x:v>
      </x:c>
      <x:c r="I449" s="9" t="n">
        <x:f>E449/SUMIFS($E$6:$E$449,$A$6:$A$449,A449,$B$6:$B$449,B449)</x:f>
        <x:v>0</x:v>
      </x:c>
      <x:c r="J449" s="10" t="n">
        <x:f>(I449-H449)*100</x:f>
        <x:v>0</x:v>
      </x:c>
      <x:c r="K449" s="2"/>
      <x:c r="L449" s="2"/>
      <x:c r="M449" s="2" t="str">
        <x:f>IF(OR(K449="",L449=""),"n.a.",K449-L449)</x:f>
        <x:v>n.a.</x:v>
      </x:c>
    </x:row>
    <x:row r="450" ht="2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</x:row>
  </x:sheetData>
  <x:conditionalFormatting sqref="F6:F449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cae29134ba43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56" hidden="0" customWidth="1"/>
    <x:col min="20" max="20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MPV 车系增长与配置快照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销量比较：2025 vs 2024。配置取记录年份≤2026的最近一行，仅为快照中的具体车型，不代表全车系或历史可用配置。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7" t="str">
        <x:v>车系</x:v>
      </x:c>
      <x:c r="B5" s="7" t="str">
        <x:v>品牌</x:v>
      </x:c>
      <x:c r="C5" s="7" t="str">
        <x:v>2024销量（辆）</x:v>
      </x:c>
      <x:c r="D5" s="7" t="str">
        <x:v>2025销量（辆）</x:v>
      </x:c>
      <x:c r="E5" s="7" t="str">
        <x:v>增量（辆）</x:v>
      </x:c>
      <x:c r="F5" s="7" t="str">
        <x:v>同比</x:v>
      </x:c>
      <x:c r="G5" s="7" t="str">
        <x:v>2025样本份额</x:v>
      </x:c>
      <x:c r="H5" s="7" t="str">
        <x:v>增量为正月份数</x:v>
      </x:c>
      <x:c r="I5" s="7" t="str">
        <x:v>月销量CV</x:v>
      </x:c>
      <x:c r="J5" s="7" t="str">
        <x:v>Q1增量</x:v>
      </x:c>
      <x:c r="K5" s="7" t="str">
        <x:v>Q2增量</x:v>
      </x:c>
      <x:c r="L5" s="7" t="str">
        <x:v>Q3增量</x:v>
      </x:c>
      <x:c r="M5" s="7" t="str">
        <x:v>Q4增量</x:v>
      </x:c>
      <x:c r="N5" s="7" t="str">
        <x:v>配置记录年</x:v>
      </x:c>
      <x:c r="O5" s="7" t="str">
        <x:v>记录能源类型</x:v>
      </x:c>
      <x:c r="P5" s="7" t="str">
        <x:v>记录指导价（万元）</x:v>
      </x:c>
      <x:c r="Q5" s="7" t="str">
        <x:v>轴距（mm）</x:v>
      </x:c>
      <x:c r="R5" s="7" t="str">
        <x:v>名称年款</x:v>
      </x:c>
      <x:c r="S5" s="7" t="str">
        <x:v>具体车型名称</x:v>
      </x:c>
      <x:c r="T5" s="7" t="str">
        <x:v>增长月份占比</x:v>
      </x:c>
    </x:row>
    <x:row r="6" ht="22" customHeight="1">
      <x:c r="A6" s="2" t="str">
        <x:v>腾势D9</x:v>
      </x:c>
      <x:c r="B6" s="2" t="str">
        <x:v>腾势</x:v>
      </x:c>
      <x:c r="C6" s="8" t="n">
        <x:v>102810</x:v>
      </x:c>
      <x:c r="D6" s="8" t="n">
        <x:v>92988</x:v>
      </x:c>
      <x:c r="E6" s="8" t="n">
        <x:f>D6-C6</x:f>
        <x:v>-9822</x:v>
      </x:c>
      <x:c r="F6" s="9" t="n">
        <x:f>IF(C6=0,"n.a.",E6/C6)</x:f>
        <x:v>-0.09553545374963525</x:v>
      </x:c>
      <x:c r="G6" s="9" t="n">
        <x:f>D6/SUM($D$6:$D$127)</x:f>
        <x:v>0.09900271174675032</x:v>
      </x:c>
      <x:c r="H6" s="2" t="n">
        <x:v>2</x:v>
      </x:c>
      <x:c r="I6" s="10" t="n">
        <x:v>0.2033710231178675</x:v>
      </x:c>
      <x:c r="J6" s="8" t="n">
        <x:v>4330</x:v>
      </x:c>
      <x:c r="K6" s="8" t="n">
        <x:v>-4372</x:v>
      </x:c>
      <x:c r="L6" s="8" t="n">
        <x:v>-4375</x:v>
      </x:c>
      <x:c r="M6" s="8" t="n">
        <x:v>-5405</x:v>
      </x:c>
      <x:c r="N6" s="2" t="n">
        <x:v>2026</x:v>
      </x:c>
      <x:c r="O6" s="2" t="str">
        <x:v>插电混动</x:v>
      </x:c>
      <x:c r="P6" s="10" t="n">
        <x:v>35.98</x:v>
      </x:c>
      <x:c r="Q6" s="2" t="n">
        <x:v>3110</x:v>
      </x:c>
      <x:c r="R6" s="2" t="n">
        <x:v>2026</x:v>
      </x:c>
      <x:c r="S6" s="2" t="str">
        <x:v>腾势D9 2026款 第二代 DM-i 四驱闪充尊贵型</x:v>
      </x:c>
      <x:c r="T6" s="9" t="n">
        <x:f>H6/12</x:f>
        <x:v>0.16666666666666666</x:v>
      </x:c>
    </x:row>
    <x:row r="7" ht="22" customHeight="1">
      <x:c r="A7" s="2" t="str">
        <x:v>赛那SIENNA</x:v>
      </x:c>
      <x:c r="B7" s="2" t="str">
        <x:v>丰田</x:v>
      </x:c>
      <x:c r="C7" s="8" t="n">
        <x:v>89450</x:v>
      </x:c>
      <x:c r="D7" s="8" t="n">
        <x:v>92214</x:v>
      </x:c>
      <x:c r="E7" s="8" t="n">
        <x:f>D7-C7</x:f>
        <x:v>2764</x:v>
      </x:c>
      <x:c r="F7" s="9" t="n">
        <x:f>IF(C7=0,"n.a.",E7/C7)</x:f>
        <x:v>0.030899944102850754</x:v>
      </x:c>
      <x:c r="G7" s="9" t="n">
        <x:f>D7/SUM($D$6:$D$127)</x:f>
        <x:v>0.09817864736326014</x:v>
      </x:c>
      <x:c r="H7" s="2" t="n">
        <x:v>6</x:v>
      </x:c>
      <x:c r="I7" s="10" t="n">
        <x:v>0.1510168071130466</x:v>
      </x:c>
      <x:c r="J7" s="8" t="n">
        <x:v>2159</x:v>
      </x:c>
      <x:c r="K7" s="8" t="n">
        <x:v>4048</x:v>
      </x:c>
      <x:c r="L7" s="8" t="n">
        <x:v>-2439</x:v>
      </x:c>
      <x:c r="M7" s="8" t="n">
        <x:v>-1004</x:v>
      </x:c>
      <x:c r="N7" s="2" t="n">
        <x:v>2026</x:v>
      </x:c>
      <x:c r="O7" s="2" t="str">
        <x:v>油电混合</x:v>
      </x:c>
      <x:c r="P7" s="10" t="n">
        <x:v>29.98</x:v>
      </x:c>
      <x:c r="Q7" s="2" t="n">
        <x:v>3060</x:v>
      </x:c>
      <x:c r="R7" s="2" t="n">
        <x:v>2026</x:v>
      </x:c>
      <x:c r="S7" s="2" t="str">
        <x:v>赛那SIENNA 2026款 2.5L 双擎两驱舒适版</x:v>
      </x:c>
      <x:c r="T7" s="9" t="n">
        <x:f>H7/12</x:f>
        <x:v>0.5</x:v>
      </x:c>
    </x:row>
    <x:row r="8" ht="22" customHeight="1">
      <x:c r="A8" s="2" t="str">
        <x:v>岚图梦想家</x:v>
      </x:c>
      <x:c r="B8" s="2" t="str">
        <x:v>岚图汽车</x:v>
      </x:c>
      <x:c r="C8" s="8" t="n">
        <x:v>55117</x:v>
      </x:c>
      <x:c r="D8" s="8" t="n">
        <x:v>80248</x:v>
      </x:c>
      <x:c r="E8" s="8" t="n">
        <x:f>D8-C8</x:f>
        <x:v>25131</x:v>
      </x:c>
      <x:c r="F8" s="9" t="n">
        <x:f>IF(C8=0,"n.a.",E8/C8)</x:f>
        <x:v>0.4559573271404467</x:v>
      </x:c>
      <x:c r="G8" s="9" t="n">
        <x:f>D8/SUM($D$6:$D$127)</x:f>
        <x:v>0.08543865458180862</x:v>
      </x:c>
      <x:c r="H8" s="2" t="n">
        <x:v>10</x:v>
      </x:c>
      <x:c r="I8" s="10" t="n">
        <x:v>0.1617755543879668</x:v>
      </x:c>
      <x:c r="J8" s="8" t="n">
        <x:v>8511</x:v>
      </x:c>
      <x:c r="K8" s="8" t="n">
        <x:v>11281</x:v>
      </x:c>
      <x:c r="L8" s="8" t="n">
        <x:v>8635</x:v>
      </x:c>
      <x:c r="M8" s="8" t="n">
        <x:v>-3296</x:v>
      </x:c>
      <x:c r="N8" s="2" t="n">
        <x:v>2026</x:v>
      </x:c>
      <x:c r="O8" s="2" t="str">
        <x:v>插电混动</x:v>
      </x:c>
      <x:c r="P8" s="10" t="n">
        <x:v>32.99</x:v>
      </x:c>
      <x:c r="Q8" s="2" t="n">
        <x:v>3200</x:v>
      </x:c>
      <x:c r="R8" s="2" t="n">
        <x:v>2026</x:v>
      </x:c>
      <x:c r="S8" s="2" t="str">
        <x:v>岚图梦想家 2026款 PHEV 鲲鹏Pro</x:v>
      </x:c>
      <x:c r="T8" s="9" t="n">
        <x:f>H8/12</x:f>
        <x:v>0.8333333333333334</x:v>
      </x:c>
    </x:row>
    <x:row r="9" ht="22" customHeight="1">
      <x:c r="A9" s="2" t="str">
        <x:v>格瑞维亚</x:v>
      </x:c>
      <x:c r="B9" s="2" t="str">
        <x:v>丰田</x:v>
      </x:c>
      <x:c r="C9" s="8" t="n">
        <x:v>78687</x:v>
      </x:c>
      <x:c r="D9" s="8" t="n">
        <x:v>70579</x:v>
      </x:c>
      <x:c r="E9" s="8" t="n">
        <x:f>D9-C9</x:f>
        <x:v>-8108</x:v>
      </x:c>
      <x:c r="F9" s="9" t="n">
        <x:f>IF(C9=0,"n.a.",E9/C9)</x:f>
        <x:v>-0.10304116308920153</x:v>
      </x:c>
      <x:c r="G9" s="9" t="n">
        <x:f>D9/SUM($D$6:$D$127)</x:f>
        <x:v>0.07514423788417743</x:v>
      </x:c>
      <x:c r="H9" s="2" t="n">
        <x:v>4</x:v>
      </x:c>
      <x:c r="I9" s="10" t="n">
        <x:v>0.2207441811581467</x:v>
      </x:c>
      <x:c r="J9" s="8" t="n">
        <x:v>3232</x:v>
      </x:c>
      <x:c r="K9" s="8" t="n">
        <x:v>1024</x:v>
      </x:c>
      <x:c r="L9" s="8" t="n">
        <x:v>-4730</x:v>
      </x:c>
      <x:c r="M9" s="8" t="n">
        <x:v>-7634</x:v>
      </x:c>
      <x:c r="N9" s="2" t="n">
        <x:v>2026</x:v>
      </x:c>
      <x:c r="O9" s="2" t="str">
        <x:v>插电混动</x:v>
      </x:c>
      <x:c r="P9" s="10" t="n">
        <x:v>29.98</x:v>
      </x:c>
      <x:c r="Q9" s="2" t="n">
        <x:v>3060</x:v>
      </x:c>
      <x:c r="R9" s="2"/>
      <x:c r="S9" s="2" t="str">
        <x:v>智能电混双擎 2.5L 两驱舒适版</x:v>
      </x:c>
      <x:c r="T9" s="9" t="n">
        <x:f>H9/12</x:f>
        <x:v>0.3333333333333333</x:v>
      </x:c>
    </x:row>
    <x:row r="10" ht="22" customHeight="1">
      <x:c r="A10" s="2" t="str">
        <x:v>魏牌 高山</x:v>
      </x:c>
      <x:c r="B10" s="2" t="str">
        <x:v>魏牌</x:v>
      </x:c>
      <x:c r="C10" s="8" t="n">
        <x:v>5633</x:v>
      </x:c>
      <x:c r="D10" s="8" t="n">
        <x:v>59449</x:v>
      </x:c>
      <x:c r="E10" s="8" t="n">
        <x:f>D10-C10</x:f>
        <x:v>53816</x:v>
      </x:c>
      <x:c r="F10" s="9" t="n">
        <x:f>IF(C10=0,"n.a.",E10/C10)</x:f>
        <x:v>9.55370140244985</x:v>
      </x:c>
      <x:c r="G10" s="9" t="n">
        <x:f>D10/SUM($D$6:$D$127)</x:f>
        <x:v>0.06329431981150858</x:v>
      </x:c>
      <x:c r="H10" s="2" t="n">
        <x:v>8</x:v>
      </x:c>
      <x:c r="I10" s="10" t="n">
        <x:v>0.7994204756741528</x:v>
      </x:c>
      <x:c r="J10" s="8" t="n">
        <x:v>-1003</x:v>
      </x:c>
      <x:c r="K10" s="8" t="n">
        <x:v>6689</x:v>
      </x:c>
      <x:c r="L10" s="8" t="n">
        <x:v>18009</x:v>
      </x:c>
      <x:c r="M10" s="8" t="n">
        <x:v>30121</x:v>
      </x:c>
      <x:c r="N10" s="2" t="n">
        <x:v>2026</x:v>
      </x:c>
      <x:c r="O10" s="2" t="str">
        <x:v>插电混动</x:v>
      </x:c>
      <x:c r="P10" s="10" t="n">
        <x:v>27.28</x:v>
      </x:c>
      <x:c r="Q10" s="2" t="n">
        <x:v>3085</x:v>
      </x:c>
      <x:c r="R10" s="2" t="n">
        <x:v>2026</x:v>
      </x:c>
      <x:c r="S10" s="2" t="str">
        <x:v>魏牌 高山 2026款 高山7 商务畅享版</x:v>
      </x:c>
      <x:c r="T10" s="9" t="n">
        <x:f>H10/12</x:f>
        <x:v>0.6666666666666666</x:v>
      </x:c>
    </x:row>
    <x:row r="11" ht="22" customHeight="1">
      <x:c r="A11" s="2" t="str">
        <x:v>别克GL8</x:v>
      </x:c>
      <x:c r="B11" s="2" t="str">
        <x:v>别克</x:v>
      </x:c>
      <x:c r="C11" s="8" t="n">
        <x:v>64688</x:v>
      </x:c>
      <x:c r="D11" s="8" t="n">
        <x:v>56853</x:v>
      </x:c>
      <x:c r="E11" s="8" t="n">
        <x:f>D11-C11</x:f>
        <x:v>-7835</x:v>
      </x:c>
      <x:c r="F11" s="9" t="n">
        <x:f>IF(C11=0,"n.a.",E11/C11)</x:f>
        <x:v>-0.12111983675488498</x:v>
      </x:c>
      <x:c r="G11" s="9" t="n">
        <x:f>D11/SUM($D$6:$D$127)</x:f>
        <x:v>0.060530403610551856</x:v>
      </x:c>
      <x:c r="H11" s="2" t="n">
        <x:v>6</x:v>
      </x:c>
      <x:c r="I11" s="10" t="n">
        <x:v>0.1714507316368261</x:v>
      </x:c>
      <x:c r="J11" s="8" t="n">
        <x:v>77</x:v>
      </x:c>
      <x:c r="K11" s="8" t="n">
        <x:v>-2111</x:v>
      </x:c>
      <x:c r="L11" s="8" t="n">
        <x:v>1196</x:v>
      </x:c>
      <x:c r="M11" s="8" t="n">
        <x:v>-6997</x:v>
      </x:c>
      <x:c r="N11" s="2" t="n">
        <x:v>2026</x:v>
      </x:c>
      <x:c r="O11" s="2" t="str">
        <x:v>燃油</x:v>
      </x:c>
      <x:c r="P11" s="10" t="n">
        <x:v>30.99</x:v>
      </x:c>
      <x:c r="Q11" s="2" t="n">
        <x:v>3088</x:v>
      </x:c>
      <x:c r="R11" s="2"/>
      <x:c r="S11" s="2" t="str">
        <x:v>陆尊 2.0T 智享版</x:v>
      </x:c>
      <x:c r="T11" s="9" t="n">
        <x:f>H11/12</x:f>
        <x:v>0.5</x:v>
      </x:c>
    </x:row>
    <x:row r="12" ht="22" customHeight="1">
      <x:c r="A12" s="2" t="str">
        <x:v>别克GL8新能源</x:v>
      </x:c>
      <x:c r="B12" s="2" t="str">
        <x:v>别克</x:v>
      </x:c>
      <x:c r="C12" s="8" t="n">
        <x:v>23056</x:v>
      </x:c>
      <x:c r="D12" s="8" t="n">
        <x:v>55281</x:v>
      </x:c>
      <x:c r="E12" s="8" t="n">
        <x:f>D12-C12</x:f>
        <x:v>32225</x:v>
      </x:c>
      <x:c r="F12" s="9" t="n">
        <x:f>IF(C12=0,"n.a.",E12/C12)</x:f>
        <x:v>1.3976839000693964</x:v>
      </x:c>
      <x:c r="G12" s="9" t="n">
        <x:f>D12/SUM($D$6:$D$127)</x:f>
        <x:v>0.058856722459587306</x:v>
      </x:c>
      <x:c r="H12" s="2" t="n">
        <x:v>12</x:v>
      </x:c>
      <x:c r="I12" s="10" t="n">
        <x:v>0.4310321708460508</x:v>
      </x:c>
      <x:c r="J12" s="8" t="n">
        <x:v>4827</x:v>
      </x:c>
      <x:c r="K12" s="8" t="n">
        <x:v>16876</x:v>
      </x:c>
      <x:c r="L12" s="8" t="n">
        <x:v>6302</x:v>
      </x:c>
      <x:c r="M12" s="8" t="n">
        <x:v>4220</x:v>
      </x:c>
      <x:c r="N12" s="2" t="n">
        <x:v>2026</x:v>
      </x:c>
      <x:c r="O12" s="2" t="str">
        <x:v>插电混动</x:v>
      </x:c>
      <x:c r="P12" s="10" t="n">
        <x:v>22.99</x:v>
      </x:c>
      <x:c r="Q12" s="2" t="n">
        <x:v>3088</x:v>
      </x:c>
      <x:c r="R12" s="2" t="n">
        <x:v>2026</x:v>
      </x:c>
      <x:c r="S12" s="2" t="str">
        <x:v>别克GL8新能源 2026款 陆尚 舒适DG版</x:v>
      </x:c>
      <x:c r="T12" s="9" t="n">
        <x:f>H12/12</x:f>
        <x:v>1</x:v>
      </x:c>
    </x:row>
    <x:row r="13" ht="22" customHeight="1">
      <x:c r="A13" s="2" t="str">
        <x:v>传祺M8</x:v>
      </x:c>
      <x:c r="B13" s="2" t="str">
        <x:v>广汽传祺</x:v>
      </x:c>
      <x:c r="C13" s="8" t="n">
        <x:v>65126</x:v>
      </x:c>
      <x:c r="D13" s="8" t="n">
        <x:v>53176</x:v>
      </x:c>
      <x:c r="E13" s="8" t="n">
        <x:f>D13-C13</x:f>
        <x:v>-11950</x:v>
      </x:c>
      <x:c r="F13" s="9" t="n">
        <x:f>IF(C13=0,"n.a.",E13/C13)</x:f>
        <x:v>-0.18349046463777907</x:v>
      </x:c>
      <x:c r="G13" s="9" t="n">
        <x:f>D13/SUM($D$6:$D$127)</x:f>
        <x:v>0.0566155654476405</x:v>
      </x:c>
      <x:c r="H13" s="2" t="n">
        <x:v>1</x:v>
      </x:c>
      <x:c r="I13" s="10" t="n">
        <x:v>0.1774797436113499</x:v>
      </x:c>
      <x:c r="J13" s="8" t="n">
        <x:v>-2211</x:v>
      </x:c>
      <x:c r="K13" s="8" t="n">
        <x:v>-2434</x:v>
      </x:c>
      <x:c r="L13" s="8" t="n">
        <x:v>-2093</x:v>
      </x:c>
      <x:c r="M13" s="8" t="n">
        <x:v>-5212</x:v>
      </x:c>
      <x:c r="N13" s="2" t="n">
        <x:v>2026</x:v>
      </x:c>
      <x:c r="O13" s="2" t="str">
        <x:v>燃油</x:v>
      </x:c>
      <x:c r="P13" s="10" t="n">
        <x:v>18.98</x:v>
      </x:c>
      <x:c r="Q13" s="2" t="n">
        <x:v>3070</x:v>
      </x:c>
      <x:c r="R13" s="2"/>
      <x:c r="S13" s="2" t="str">
        <x:v>2.0T 尊享版</x:v>
      </x:c>
      <x:c r="T13" s="9" t="n">
        <x:f>H13/12</x:f>
        <x:v>0.08333333333333333</x:v>
      </x:c>
    </x:row>
    <x:row r="14" ht="22" customHeight="1">
      <x:c r="A14" s="2" t="str">
        <x:v>传祺E8新能源</x:v>
      </x:c>
      <x:c r="B14" s="2" t="str">
        <x:v>广汽传祺</x:v>
      </x:c>
      <x:c r="C14" s="8" t="n">
        <x:v>49163</x:v>
      </x:c>
      <x:c r="D14" s="8" t="n">
        <x:v>27610</x:v>
      </x:c>
      <x:c r="E14" s="8" t="n">
        <x:f>D14-C14</x:f>
        <x:v>-21553</x:v>
      </x:c>
      <x:c r="F14" s="9" t="n">
        <x:f>IF(C14=0,"n.a.",E14/C14)</x:f>
        <x:v>-0.4383987958424018</x:v>
      </x:c>
      <x:c r="G14" s="9" t="n">
        <x:f>D14/SUM($D$6:$D$127)</x:f>
        <x:v>0.02939588840848041</x:v>
      </x:c>
      <x:c r="H14" s="2" t="n">
        <x:v>3</x:v>
      </x:c>
      <x:c r="I14" s="10" t="n">
        <x:v>0.2512425169577957</x:v>
      </x:c>
      <x:c r="J14" s="8" t="n">
        <x:v>-1852</x:v>
      </x:c>
      <x:c r="K14" s="8" t="n">
        <x:v>643</x:v>
      </x:c>
      <x:c r="L14" s="8" t="n">
        <x:v>-4692</x:v>
      </x:c>
      <x:c r="M14" s="8" t="n">
        <x:v>-15652</x:v>
      </x:c>
      <x:c r="N14" s="2" t="n">
        <x:v>2026</x:v>
      </x:c>
      <x:c r="O14" s="2" t="str">
        <x:v>插电混动</x:v>
      </x:c>
      <x:c r="P14" s="10" t="n">
        <x:v>18.98</x:v>
      </x:c>
      <x:c r="Q14" s="2" t="n">
        <x:v>3000</x:v>
      </x:c>
      <x:c r="R14" s="2" t="n">
        <x:v>2026</x:v>
      </x:c>
      <x:c r="S14" s="2" t="str">
        <x:v>传祺E8新能源 2026款 Pro版 新上市</x:v>
      </x:c>
      <x:c r="T14" s="9" t="n">
        <x:f>H14/12</x:f>
        <x:v>0.25</x:v>
      </x:c>
    </x:row>
    <x:row r="15" ht="22" customHeight="1">
      <x:c r="A15" s="2" t="str">
        <x:v>夏</x:v>
      </x:c>
      <x:c r="B15" s="2" t="str">
        <x:v>比亚迪</x:v>
      </x:c>
      <x:c r="C15" s="8" t="n">
        <x:v>0</x:v>
      </x:c>
      <x:c r="D15" s="8" t="n">
        <x:v>27288</x:v>
      </x:c>
      <x:c r="E15" s="8" t="n">
        <x:f>D15-C15</x:f>
        <x:v>27288</x:v>
      </x:c>
      <x:c r="F15" s="9" t="str">
        <x:f>IF(C15=0,"n.a.",E15/C15)</x:f>
        <x:v>n.a.</x:v>
      </x:c>
      <x:c r="G15" s="9" t="n">
        <x:f>D15/SUM($D$6:$D$127)</x:f>
        <x:v>0.02905306059002584</x:v>
      </x:c>
      <x:c r="H15" s="2" t="n">
        <x:v>12</x:v>
      </x:c>
      <x:c r="I15" s="10" t="n">
        <x:v>0.3501536664323201</x:v>
      </x:c>
      <x:c r="J15" s="8" t="n">
        <x:v>8488</x:v>
      </x:c>
      <x:c r="K15" s="8" t="n">
        <x:v>9039</x:v>
      </x:c>
      <x:c r="L15" s="8" t="n">
        <x:v>4491</x:v>
      </x:c>
      <x:c r="M15" s="8" t="n">
        <x:v>5270</x:v>
      </x:c>
      <x:c r="N15" s="2" t="n">
        <x:v>2026</x:v>
      </x:c>
      <x:c r="O15" s="2" t="str">
        <x:v>插电混动</x:v>
      </x:c>
      <x:c r="P15" s="10" t="n">
        <x:v>20.68</x:v>
      </x:c>
      <x:c r="Q15" s="2" t="n">
        <x:v>3045</x:v>
      </x:c>
      <x:c r="R15" s="2"/>
      <x:c r="S15" s="2" t="str">
        <x:v>DM-i 100KM进取型</x:v>
      </x:c>
      <x:c r="T15" s="9" t="n">
        <x:f>H15/12</x:f>
        <x:v>1</x:v>
      </x:c>
    </x:row>
    <x:row r="16" ht="22" customHeight="1">
      <x:c r="A16" s="2" t="str">
        <x:v>传祺M6</x:v>
      </x:c>
      <x:c r="B16" s="2" t="str">
        <x:v>广汽传祺</x:v>
      </x:c>
      <x:c r="C16" s="8" t="n">
        <x:v>50126</x:v>
      </x:c>
      <x:c r="D16" s="8" t="n">
        <x:v>25942</x:v>
      </x:c>
      <x:c r="E16" s="8" t="n">
        <x:f>D16-C16</x:f>
        <x:v>-24184</x:v>
      </x:c>
      <x:c r="F16" s="9" t="n">
        <x:f>IF(C16=0,"n.a.",E16/C16)</x:f>
        <x:v>-0.4824641902405937</x:v>
      </x:c>
      <x:c r="G16" s="9" t="n">
        <x:f>D16/SUM($D$6:$D$127)</x:f>
        <x:v>0.027619997721579095</x:v>
      </x:c>
      <x:c r="H16" s="2" t="n">
        <x:v>1</x:v>
      </x:c>
      <x:c r="I16" s="10" t="n">
        <x:v>0.3473483346633022</x:v>
      </x:c>
      <x:c r="J16" s="8" t="n">
        <x:v>-6643</x:v>
      </x:c>
      <x:c r="K16" s="8" t="n">
        <x:v>-5697</x:v>
      </x:c>
      <x:c r="L16" s="8" t="n">
        <x:v>-825</x:v>
      </x:c>
      <x:c r="M16" s="8" t="n">
        <x:v>-11019</x:v>
      </x:c>
      <x:c r="N16" s="2" t="n">
        <x:v>2026</x:v>
      </x:c>
      <x:c r="O16" s="2" t="str">
        <x:v>燃油</x:v>
      </x:c>
      <x:c r="P16" s="10" t="n">
        <x:v>9.98</x:v>
      </x:c>
      <x:c r="Q16" s="2" t="n">
        <x:v>2810</x:v>
      </x:c>
      <x:c r="R16" s="2"/>
      <x:c r="S16" s="2" t="str">
        <x:v>MAX 1.5T 精英版</x:v>
      </x:c>
      <x:c r="T16" s="9" t="n">
        <x:f>H16/12</x:f>
        <x:v>0.08333333333333333</x:v>
      </x:c>
    </x:row>
    <x:row r="17" ht="22" customHeight="1">
      <x:c r="A17" s="2" t="str">
        <x:v>极狐考拉</x:v>
      </x:c>
      <x:c r="B17" s="2" t="str">
        <x:v>ARCFOX极狐</x:v>
      </x:c>
      <x:c r="C17" s="8" t="n">
        <x:v>19289</x:v>
      </x:c>
      <x:c r="D17" s="8" t="n">
        <x:v>20257</x:v>
      </x:c>
      <x:c r="E17" s="8" t="n">
        <x:f>D17-C17</x:f>
        <x:v>968</x:v>
      </x:c>
      <x:c r="F17" s="9" t="n">
        <x:f>IF(C17=0,"n.a.",E17/C17)</x:f>
        <x:v>0.05018404271864793</x:v>
      </x:c>
      <x:c r="G17" s="9" t="n">
        <x:f>D17/SUM($D$6:$D$127)</x:f>
        <x:v>0.02156727676532371</x:v>
      </x:c>
      <x:c r="H17" s="2" t="n">
        <x:v>5</x:v>
      </x:c>
      <x:c r="I17" s="10" t="n">
        <x:v>0.5365816479563651</x:v>
      </x:c>
      <x:c r="J17" s="8" t="n">
        <x:v>6624</x:v>
      </x:c>
      <x:c r="K17" s="8" t="n">
        <x:v>3346</x:v>
      </x:c>
      <x:c r="L17" s="8" t="n">
        <x:v>-2466</x:v>
      </x:c>
      <x:c r="M17" s="8" t="n">
        <x:v>-6536</x:v>
      </x:c>
      <x:c r="N17" s="2" t="n">
        <x:v>2026</x:v>
      </x:c>
      <x:c r="O17" s="2" t="str">
        <x:v>纯电动</x:v>
      </x:c>
      <x:c r="P17" s="10" t="n">
        <x:v>13.18</x:v>
      </x:c>
      <x:c r="Q17" s="2" t="n">
        <x:v>2820</x:v>
      </x:c>
      <x:c r="R17" s="2" t="n">
        <x:v>2023</x:v>
      </x:c>
      <x:c r="S17" s="2" t="str">
        <x:v>极狐考拉 2023款 家庭版</x:v>
      </x:c>
      <x:c r="T17" s="9" t="n">
        <x:f>H17/12</x:f>
        <x:v>0.4166666666666667</x:v>
      </x:c>
    </x:row>
    <x:row r="18" ht="22" customHeight="1">
      <x:c r="A18" s="2" t="str">
        <x:v>小鹏X9</x:v>
      </x:c>
      <x:c r="B18" s="2" t="str">
        <x:v>小鹏</x:v>
      </x:c>
      <x:c r="C18" s="8" t="n">
        <x:v>21608</x:v>
      </x:c>
      <x:c r="D18" s="8" t="n">
        <x:v>20112</x:v>
      </x:c>
      <x:c r="E18" s="8" t="n">
        <x:f>D18-C18</x:f>
        <x:v>-1496</x:v>
      </x:c>
      <x:c r="F18" s="9" t="n">
        <x:f>IF(C18=0,"n.a.",E18/C18)</x:f>
        <x:v>-0.06923361717882266</x:v>
      </x:c>
      <x:c r="G18" s="9" t="n">
        <x:f>D18/SUM($D$6:$D$127)</x:f>
        <x:v>0.021412897778752552</x:v>
      </x:c>
      <x:c r="H18" s="2" t="n">
        <x:v>4</x:v>
      </x:c>
      <x:c r="I18" s="10" t="n">
        <x:v>0.6813930865734824</x:v>
      </x:c>
      <x:c r="J18" s="8" t="n">
        <x:v>-5150</x:v>
      </x:c>
      <x:c r="K18" s="8" t="n">
        <x:v>698</x:v>
      </x:c>
      <x:c r="L18" s="8" t="n">
        <x:v>-880</x:v>
      </x:c>
      <x:c r="M18" s="8" t="n">
        <x:v>3836</x:v>
      </x:c>
      <x:c r="N18" s="2" t="n">
        <x:v>2026</x:v>
      </x:c>
      <x:c r="O18" s="2" t="str">
        <x:v>增程式</x:v>
      </x:c>
      <x:c r="P18" s="10" t="n">
        <x:v>30.98</x:v>
      </x:c>
      <x:c r="Q18" s="2" t="n">
        <x:v>3160</x:v>
      </x:c>
      <x:c r="R18" s="2"/>
      <x:c r="S18" s="2" t="str">
        <x:v>增程 1602 Max</x:v>
      </x:c>
      <x:c r="T18" s="9" t="n">
        <x:f>H18/12</x:f>
        <x:v>0.3333333333333333</x:v>
      </x:c>
    </x:row>
    <x:row r="19" ht="22" customHeight="1">
      <x:c r="A19" s="2" t="str">
        <x:v>奥德赛</x:v>
      </x:c>
      <x:c r="B19" s="2" t="str">
        <x:v>本田</x:v>
      </x:c>
      <x:c r="C19" s="8" t="n">
        <x:v>31980</x:v>
      </x:c>
      <x:c r="D19" s="8" t="n">
        <x:v>19726</x:v>
      </x:c>
      <x:c r="E19" s="8" t="n">
        <x:f>D19-C19</x:f>
        <x:v>-12254</x:v>
      </x:c>
      <x:c r="F19" s="9" t="n">
        <x:f>IF(C19=0,"n.a.",E19/C19)</x:f>
        <x:v>-0.38317698561601</x:v>
      </x:c>
      <x:c r="G19" s="9" t="n">
        <x:f>D19/SUM($D$6:$D$127)</x:f>
        <x:v>0.021001930269673473</x:v>
      </x:c>
      <x:c r="H19" s="2" t="n">
        <x:v>1</x:v>
      </x:c>
      <x:c r="I19" s="10" t="n">
        <x:v>0.1416758872866815</x:v>
      </x:c>
      <x:c r="J19" s="8" t="n">
        <x:v>-626</x:v>
      </x:c>
      <x:c r="K19" s="8" t="n">
        <x:v>-4455</x:v>
      </x:c>
      <x:c r="L19" s="8" t="n">
        <x:v>-2663</x:v>
      </x:c>
      <x:c r="M19" s="8" t="n">
        <x:v>-4510</x:v>
      </x:c>
      <x:c r="N19" s="2" t="n">
        <x:v>2026</x:v>
      </x:c>
      <x:c r="O19" s="2" t="str">
        <x:v>插电混动</x:v>
      </x:c>
      <x:c r="P19" s="10" t="n">
        <x:v>23.58</x:v>
      </x:c>
      <x:c r="Q19" s="2" t="n">
        <x:v>2900</x:v>
      </x:c>
      <x:c r="R19" s="2"/>
      <x:c r="S19" s="2" t="str">
        <x:v>2.0L e:HEV 锐·悦享版</x:v>
      </x:c>
      <x:c r="T19" s="9" t="n">
        <x:f>H19/12</x:f>
        <x:v>0.08333333333333333</x:v>
      </x:c>
    </x:row>
    <x:row r="20" ht="22" customHeight="1">
      <x:c r="A20" s="2" t="str">
        <x:v>极氪009</x:v>
      </x:c>
      <x:c r="B20" s="2" t="str">
        <x:v>极氪</x:v>
      </x:c>
      <x:c r="C20" s="8" t="n">
        <x:v>22631</x:v>
      </x:c>
      <x:c r="D20" s="8" t="n">
        <x:v>19522</x:v>
      </x:c>
      <x:c r="E20" s="8" t="n">
        <x:f>D20-C20</x:f>
        <x:v>-3109</x:v>
      </x:c>
      <x:c r="F20" s="9" t="n">
        <x:f>IF(C20=0,"n.a.",E20/C20)</x:f>
        <x:v>-0.1373779329238655</x:v>
      </x:c>
      <x:c r="G20" s="9" t="n">
        <x:f>D20/SUM($D$6:$D$127)</x:f>
        <x:v>0.020784735005807842</x:v>
      </x:c>
      <x:c r="H20" s="2" t="n">
        <x:v>6</x:v>
      </x:c>
      <x:c r="I20" s="10" t="n">
        <x:v>0.3338084848380648</x:v>
      </x:c>
      <x:c r="J20" s="8" t="n">
        <x:v>5223</x:v>
      </x:c>
      <x:c r="K20" s="8" t="n">
        <x:v>3162</x:v>
      </x:c>
      <x:c r="L20" s="8" t="n">
        <x:v>-4155</x:v>
      </x:c>
      <x:c r="M20" s="8" t="n">
        <x:v>-7339</x:v>
      </x:c>
      <x:c r="N20" s="2" t="n">
        <x:v>2026</x:v>
      </x:c>
      <x:c r="O20" s="2" t="str">
        <x:v>纯电动</x:v>
      </x:c>
      <x:c r="P20" s="10" t="n">
        <x:v>43.98</x:v>
      </x:c>
      <x:c r="Q20" s="2" t="n">
        <x:v>3205</x:v>
      </x:c>
      <x:c r="R20" s="2" t="n">
        <x:v>2026</x:v>
      </x:c>
      <x:c r="S20" s="2" t="str">
        <x:v>极氪009 2026款 七座Ultra版</x:v>
      </x:c>
      <x:c r="T20" s="9" t="n">
        <x:f>H20/12</x:f>
        <x:v>0.5</x:v>
      </x:c>
    </x:row>
    <x:row r="21" ht="22" customHeight="1">
      <x:c r="A21" s="2" t="str">
        <x:v>理想MEGA</x:v>
      </x:c>
      <x:c r="B21" s="2" t="str">
        <x:v>理想汽车</x:v>
      </x:c>
      <x:c r="C21" s="8" t="n">
        <x:v>10798</x:v>
      </x:c>
      <x:c r="D21" s="8" t="n">
        <x:v>18541</x:v>
      </x:c>
      <x:c r="E21" s="8" t="n">
        <x:f>D21-C21</x:f>
        <x:v>7743</x:v>
      </x:c>
      <x:c r="F21" s="9" t="n">
        <x:f>IF(C21=0,"n.a.",E21/C21)</x:f>
        <x:v>0.7170772365252824</x:v>
      </x:c>
      <x:c r="G21" s="9" t="n">
        <x:f>D21/SUM($D$6:$D$127)</x:f>
        <x:v>0.01974028131045401</x:v>
      </x:c>
      <x:c r="H21" s="2" t="n">
        <x:v>8</x:v>
      </x:c>
      <x:c r="I21" s="10" t="n">
        <x:v>0.6733437759006003</x:v>
      </x:c>
      <x:c r="J21" s="8" t="n">
        <x:v>-825</x:v>
      </x:c>
      <x:c r="K21" s="8" t="n">
        <x:v>1053</x:v>
      </x:c>
      <x:c r="L21" s="8" t="n">
        <x:v>6935</x:v>
      </x:c>
      <x:c r="M21" s="8" t="n">
        <x:v>580</x:v>
      </x:c>
      <x:c r="N21" s="2" t="n">
        <x:v>2026</x:v>
      </x:c>
      <x:c r="O21" s="2" t="str">
        <x:v>纯电动</x:v>
      </x:c>
      <x:c r="P21" s="10" t="n">
        <x:v>52.98</x:v>
      </x:c>
      <x:c r="Q21" s="2" t="n">
        <x:v>3300</x:v>
      </x:c>
      <x:c r="R21" s="2"/>
      <x:c r="S21" s="2" t="str">
        <x:v>Ultra 智能焕新版</x:v>
      </x:c>
      <x:c r="T21" s="9" t="n">
        <x:f>H21/12</x:f>
        <x:v>0.6666666666666666</x:v>
      </x:c>
    </x:row>
    <x:row r="22" ht="22" customHeight="1">
      <x:c r="A22" s="2" t="str">
        <x:v>库斯途</x:v>
      </x:c>
      <x:c r="B22" s="2" t="str">
        <x:v>现代</x:v>
      </x:c>
      <x:c r="C22" s="8" t="n">
        <x:v>10379</x:v>
      </x:c>
      <x:c r="D22" s="8" t="n">
        <x:v>16968</x:v>
      </x:c>
      <x:c r="E22" s="8" t="n">
        <x:f>D22-C22</x:f>
        <x:v>6589</x:v>
      </x:c>
      <x:c r="F22" s="9" t="n">
        <x:f>IF(C22=0,"n.a.",E22/C22)</x:f>
        <x:v>0.6348395799209943</x:v>
      </x:c>
      <x:c r="G22" s="9" t="n">
        <x:f>D22/SUM($D$6:$D$127)</x:f>
        <x:v>0.018065535476823456</x:v>
      </x:c>
      <x:c r="H22" s="2" t="n">
        <x:v>11</x:v>
      </x:c>
      <x:c r="I22" s="10" t="n">
        <x:v>0.3173842381486991</x:v>
      </x:c>
      <x:c r="J22" s="8" t="n">
        <x:v>372</x:v>
      </x:c>
      <x:c r="K22" s="8" t="n">
        <x:v>2035</x:v>
      </x:c>
      <x:c r="L22" s="8" t="n">
        <x:v>2625</x:v>
      </x:c>
      <x:c r="M22" s="8" t="n">
        <x:v>1557</x:v>
      </x:c>
      <x:c r="N22" s="2" t="n">
        <x:v>2026</x:v>
      </x:c>
      <x:c r="O22" s="2" t="str">
        <x:v>燃油</x:v>
      </x:c>
      <x:c r="P22" s="10" t="n">
        <x:v>17.18</x:v>
      </x:c>
      <x:c r="Q22" s="2" t="n">
        <x:v>3055</x:v>
      </x:c>
      <x:c r="R22" s="2"/>
      <x:c r="S22" s="2" t="str">
        <x:v>270TGDi GLS 领先版</x:v>
      </x:c>
      <x:c r="T22" s="9" t="n">
        <x:f>H22/12</x:f>
        <x:v>0.9166666666666666</x:v>
      </x:c>
    </x:row>
    <x:row r="23" ht="22" customHeight="1">
      <x:c r="A23" s="2" t="str">
        <x:v>王牌M7</x:v>
      </x:c>
      <x:c r="B23" s="2" t="str">
        <x:v>北汽制造</x:v>
      </x:c>
      <x:c r="C23" s="8" t="n">
        <x:v>13143</x:v>
      </x:c>
      <x:c r="D23" s="8" t="n">
        <x:v>15432</x:v>
      </x:c>
      <x:c r="E23" s="8" t="n">
        <x:f>D23-C23</x:f>
        <x:v>2289</x:v>
      </x:c>
      <x:c r="F23" s="9" t="n">
        <x:f>IF(C23=0,"n.a.",E23/C23)</x:f>
        <x:v>0.174161150422278</x:v>
      </x:c>
      <x:c r="G23" s="9" t="n">
        <x:f>D23/SUM($D$6:$D$127)</x:f>
        <x:v>0.016430182901835195</x:v>
      </x:c>
      <x:c r="H23" s="2" t="n">
        <x:v>9</x:v>
      </x:c>
      <x:c r="I23" s="10" t="n">
        <x:v>0.2523377073638211</x:v>
      </x:c>
      <x:c r="J23" s="8" t="n">
        <x:v>499</x:v>
      </x:c>
      <x:c r="K23" s="8" t="n">
        <x:v>1956</x:v>
      </x:c>
      <x:c r="L23" s="8" t="n">
        <x:v>1311</x:v>
      </x:c>
      <x:c r="M23" s="8" t="n">
        <x:v>-1477</x:v>
      </x:c>
      <x:c r="N23" s="2"/>
      <x:c r="O23" s="2"/>
      <x:c r="P23" s="10"/>
      <x:c r="Q23" s="2"/>
      <x:c r="R23" s="2"/>
      <x:c r="S23" s="2"/>
      <x:c r="T23" s="9" t="n">
        <x:f>H23/12</x:f>
        <x:v>0.75</x:v>
      </x:c>
    </x:row>
    <x:row r="24" ht="22" customHeight="1">
      <x:c r="A24" s="2" t="str">
        <x:v>菱智</x:v>
      </x:c>
      <x:c r="B24" s="2" t="str">
        <x:v>东风风行</x:v>
      </x:c>
      <x:c r="C24" s="8" t="n">
        <x:v>19156</x:v>
      </x:c>
      <x:c r="D24" s="8" t="n">
        <x:v>14805</x:v>
      </x:c>
      <x:c r="E24" s="8" t="n">
        <x:f>D24-C24</x:f>
        <x:v>-4351</x:v>
      </x:c>
      <x:c r="F24" s="9" t="n">
        <x:f>IF(C24=0,"n.a.",E24/C24)</x:f>
        <x:v>-0.22713510127375236</x:v>
      </x:c>
      <x:c r="G24" s="9" t="n">
        <x:f>D24/SUM($D$6:$D$127)</x:f>
        <x:v>0.015762626870248188</x:v>
      </x:c>
      <x:c r="H24" s="2" t="n">
        <x:v>6</x:v>
      </x:c>
      <x:c r="I24" s="10" t="n">
        <x:v>0.3806192720410112</x:v>
      </x:c>
      <x:c r="J24" s="8" t="n">
        <x:v>-3722</x:v>
      </x:c>
      <x:c r="K24" s="8" t="n">
        <x:v>681</x:v>
      </x:c>
      <x:c r="L24" s="8" t="n">
        <x:v>1344</x:v>
      </x:c>
      <x:c r="M24" s="8" t="n">
        <x:v>-2654</x:v>
      </x:c>
      <x:c r="N24" s="2" t="n">
        <x:v>2026</x:v>
      </x:c>
      <x:c r="O24" s="2" t="str">
        <x:v>燃油</x:v>
      </x:c>
      <x:c r="P24" s="10" t="n">
        <x:v>5.99</x:v>
      </x:c>
      <x:c r="Q24" s="2" t="n">
        <x:v>2800</x:v>
      </x:c>
      <x:c r="R24" s="2"/>
      <x:c r="S24" s="2" t="str">
        <x:v>M5 1.6L 短轴实用型5座</x:v>
      </x:c>
      <x:c r="T24" s="9" t="n">
        <x:f>H24/12</x:f>
        <x:v>0.5</x:v>
      </x:c>
    </x:row>
    <x:row r="25" ht="22" customHeight="1">
      <x:c r="A25" s="2" t="str">
        <x:v>五菱星光730新能源</x:v>
      </x:c>
      <x:c r="B25" s="2" t="str">
        <x:v>五菱</x:v>
      </x:c>
      <x:c r="C25" s="8" t="n">
        <x:v>0</x:v>
      </x:c>
      <x:c r="D25" s="8" t="n">
        <x:v>12817</x:v>
      </x:c>
      <x:c r="E25" s="8" t="n">
        <x:f>D25-C25</x:f>
        <x:v>12817</x:v>
      </x:c>
      <x:c r="F25" s="9" t="str">
        <x:f>IF(C25=0,"n.a.",E25/C25)</x:f>
        <x:v>n.a.</x:v>
      </x:c>
      <x:c r="G25" s="9" t="n">
        <x:f>D25/SUM($D$6:$D$127)</x:f>
        <x:v>0.013646037730224318</x:v>
      </x:c>
      <x:c r="H25" s="2" t="n">
        <x:v>3</x:v>
      </x:c>
      <x:c r="I25" s="10" t="n">
        <x:v>1.8679638293279763</x:v>
      </x:c>
      <x:c r="J25" s="8" t="n">
        <x:v>0</x:v>
      </x:c>
      <x:c r="K25" s="8" t="n">
        <x:v>0</x:v>
      </x:c>
      <x:c r="L25" s="8" t="n">
        <x:v>0</x:v>
      </x:c>
      <x:c r="M25" s="8" t="n">
        <x:v>12817</x:v>
      </x:c>
      <x:c r="N25" s="2"/>
      <x:c r="O25" s="2"/>
      <x:c r="P25" s="10"/>
      <x:c r="Q25" s="2"/>
      <x:c r="R25" s="2"/>
      <x:c r="S25" s="2"/>
      <x:c r="T25" s="9" t="n">
        <x:f>H25/12</x:f>
        <x:v>0.25</x:v>
      </x:c>
    </x:row>
    <x:row r="26" ht="22" customHeight="1">
      <x:c r="A26" s="2" t="str">
        <x:v>五菱佳辰</x:v>
      </x:c>
      <x:c r="B26" s="2" t="str">
        <x:v>五菱</x:v>
      </x:c>
      <x:c r="C26" s="8" t="n">
        <x:v>26915</x:v>
      </x:c>
      <x:c r="D26" s="8" t="n">
        <x:v>12604</x:v>
      </x:c>
      <x:c r="E26" s="8" t="n">
        <x:f>D26-C26</x:f>
        <x:v>-14311</x:v>
      </x:c>
      <x:c r="F26" s="9" t="n">
        <x:f>IF(C26=0,"n.a.",E26/C26)</x:f>
        <x:v>-0.5317109418539848</x:v>
      </x:c>
      <x:c r="G26" s="9" t="n">
        <x:f>D26/SUM($D$6:$D$127)</x:f>
        <x:v>0.013419260322364618</x:v>
      </x:c>
      <x:c r="H26" s="2" t="n">
        <x:v>1</x:v>
      </x:c>
      <x:c r="I26" s="10" t="n">
        <x:v>0.5668709089136877</x:v>
      </x:c>
      <x:c r="J26" s="8" t="n">
        <x:v>-6371</x:v>
      </x:c>
      <x:c r="K26" s="8" t="n">
        <x:v>-1545</x:v>
      </x:c>
      <x:c r="L26" s="8" t="n">
        <x:v>-2797</x:v>
      </x:c>
      <x:c r="M26" s="8" t="n">
        <x:v>-3598</x:v>
      </x:c>
      <x:c r="N26" s="2" t="n">
        <x:v>2026</x:v>
      </x:c>
      <x:c r="O26" s="2" t="str">
        <x:v>插电混动</x:v>
      </x:c>
      <x:c r="P26" s="10" t="n">
        <x:v>11.58</x:v>
      </x:c>
      <x:c r="Q26" s="2" t="n">
        <x:v>2760</x:v>
      </x:c>
      <x:c r="R26" s="2"/>
      <x:c r="S26" s="2" t="str">
        <x:v>2.0L DHT旗舰型</x:v>
      </x:c>
      <x:c r="T26" s="9" t="n">
        <x:f>H26/12</x:f>
        <x:v>0.08333333333333333</x:v>
      </x:c>
    </x:row>
    <x:row r="27" ht="22" customHeight="1">
      <x:c r="A27" s="2" t="str">
        <x:v>欧诺S</x:v>
      </x:c>
      <x:c r="B27" s="2" t="str">
        <x:v>长安凯程</x:v>
      </x:c>
      <x:c r="C27" s="8" t="n">
        <x:v>13698</x:v>
      </x:c>
      <x:c r="D27" s="8" t="n">
        <x:v>11142</x:v>
      </x:c>
      <x:c r="E27" s="8" t="n">
        <x:f>D27-C27</x:f>
        <x:v>-2556</x:v>
      </x:c>
      <x:c r="F27" s="9" t="n">
        <x:f>IF(C27=0,"n.a.",E27/C27)</x:f>
        <x:v>-0.18659658344283836</x:v>
      </x:c>
      <x:c r="G27" s="9" t="n">
        <x:f>D27/SUM($D$6:$D$127)</x:f>
        <x:v>0.011862694264660946</x:v>
      </x:c>
      <x:c r="H27" s="2" t="n">
        <x:v>5</x:v>
      </x:c>
      <x:c r="I27" s="10" t="n">
        <x:v>0.3347015763593871</x:v>
      </x:c>
      <x:c r="J27" s="8" t="n">
        <x:v>-155</x:v>
      </x:c>
      <x:c r="K27" s="8" t="n">
        <x:v>1008</x:v>
      </x:c>
      <x:c r="L27" s="8" t="n">
        <x:v>417</x:v>
      </x:c>
      <x:c r="M27" s="8" t="n">
        <x:v>-3826</x:v>
      </x:c>
      <x:c r="N27" s="2" t="n">
        <x:v>2026</x:v>
      </x:c>
      <x:c r="O27" s="2" t="str">
        <x:v>燃油</x:v>
      </x:c>
      <x:c r="P27" s="10" t="n">
        <x:v>5.19</x:v>
      </x:c>
      <x:c r="Q27" s="2" t="n">
        <x:v>2750</x:v>
      </x:c>
      <x:c r="R27" s="2"/>
      <x:c r="S27" s="2" t="str">
        <x:v>1.5L尊享版双蒸空调客车JL473QG 5座</x:v>
      </x:c>
      <x:c r="T27" s="9" t="n">
        <x:f>H27/12</x:f>
        <x:v>0.4166666666666667</x:v>
      </x:c>
    </x:row>
    <x:row r="28" ht="22" customHeight="1">
      <x:c r="A28" s="2" t="str">
        <x:v>威然</x:v>
      </x:c>
      <x:c r="B28" s="2" t="str">
        <x:v>大众</x:v>
      </x:c>
      <x:c r="C28" s="8" t="n">
        <x:v>14675</x:v>
      </x:c>
      <x:c r="D28" s="8" t="n">
        <x:v>10954</x:v>
      </x:c>
      <x:c r="E28" s="8" t="n">
        <x:f>D28-C28</x:f>
        <x:v>-3721</x:v>
      </x:c>
      <x:c r="F28" s="9" t="n">
        <x:f>IF(C28=0,"n.a.",E28/C28)</x:f>
        <x:v>-0.2535604770017036</x:v>
      </x:c>
      <x:c r="G28" s="9" t="n">
        <x:f>D28/SUM($D$6:$D$127)</x:f>
        <x:v>0.011662533923451446</x:v>
      </x:c>
      <x:c r="H28" s="2" t="n">
        <x:v>2</x:v>
      </x:c>
      <x:c r="I28" s="10" t="n">
        <x:v>0.4098916993421564</x:v>
      </x:c>
      <x:c r="J28" s="8" t="n">
        <x:v>-347</x:v>
      </x:c>
      <x:c r="K28" s="8" t="n">
        <x:v>-286</x:v>
      </x:c>
      <x:c r="L28" s="8" t="n">
        <x:v>-449</x:v>
      </x:c>
      <x:c r="M28" s="8" t="n">
        <x:v>-2639</x:v>
      </x:c>
      <x:c r="N28" s="2" t="n">
        <x:v>2026</x:v>
      </x:c>
      <x:c r="O28" s="2" t="str">
        <x:v>燃油</x:v>
      </x:c>
      <x:c r="P28" s="10" t="n">
        <x:v>28.98</x:v>
      </x:c>
      <x:c r="Q28" s="2" t="n">
        <x:v>3180</x:v>
      </x:c>
      <x:c r="R28" s="2"/>
      <x:c r="S28" s="2" t="str">
        <x:v>330TSI 商务版</x:v>
      </x:c>
      <x:c r="T28" s="9" t="n">
        <x:f>H28/12</x:f>
        <x:v>0.16666666666666666</x:v>
      </x:c>
    </x:row>
    <x:row r="29" ht="22" customHeight="1">
      <x:c r="A29" s="2" t="str">
        <x:v>奔驰V级</x:v>
      </x:c>
      <x:c r="B29" s="2" t="str">
        <x:v>奔驰</x:v>
      </x:c>
      <x:c r="C29" s="8" t="n">
        <x:v>12126</x:v>
      </x:c>
      <x:c r="D29" s="8" t="n">
        <x:v>10247</x:v>
      </x:c>
      <x:c r="E29" s="8" t="n">
        <x:f>D29-C29</x:f>
        <x:v>-1879</x:v>
      </x:c>
      <x:c r="F29" s="9" t="n">
        <x:f>IF(C29=0,"n.a.",E29/C29)</x:f>
        <x:v>-0.1549562922645555</x:v>
      </x:c>
      <x:c r="G29" s="9" t="n">
        <x:f>D29/SUM($D$6:$D$127)</x:f>
        <x:v>0.010909803278583801</x:v>
      </x:c>
      <x:c r="H29" s="2" t="n">
        <x:v>2</x:v>
      </x:c>
      <x:c r="I29" s="10" t="n">
        <x:v>0.2086838360298976</x:v>
      </x:c>
      <x:c r="J29" s="8" t="n">
        <x:v>-1000</x:v>
      </x:c>
      <x:c r="K29" s="8" t="n">
        <x:v>-189</x:v>
      </x:c>
      <x:c r="L29" s="8" t="n">
        <x:v>-527</x:v>
      </x:c>
      <x:c r="M29" s="8" t="n">
        <x:v>-163</x:v>
      </x:c>
      <x:c r="N29" s="2" t="n">
        <x:v>2026</x:v>
      </x:c>
      <x:c r="O29" s="2" t="str">
        <x:v>燃油</x:v>
      </x:c>
      <x:c r="P29" s="10" t="n">
        <x:v>49.68</x:v>
      </x:c>
      <x:c r="Q29" s="2" t="n">
        <x:v>3200</x:v>
      </x:c>
      <x:c r="R29" s="2"/>
      <x:c r="S29" s="2" t="str">
        <x:v>V 300 领航版</x:v>
      </x:c>
      <x:c r="T29" s="9" t="n">
        <x:f>H29/12</x:f>
        <x:v>0.16666666666666666</x:v>
      </x:c>
    </x:row>
    <x:row r="30" ht="22" customHeight="1">
      <x:c r="A30" s="2" t="str">
        <x:v>威霆</x:v>
      </x:c>
      <x:c r="B30" s="2" t="str">
        <x:v>奔驰</x:v>
      </x:c>
      <x:c r="C30" s="8" t="n">
        <x:v>14716</x:v>
      </x:c>
      <x:c r="D30" s="8" t="n">
        <x:v>9431</x:v>
      </x:c>
      <x:c r="E30" s="8" t="n">
        <x:f>D30-C30</x:f>
        <x:v>-5285</x:v>
      </x:c>
      <x:c r="F30" s="9" t="n">
        <x:f>IF(C30=0,"n.a.",E30/C30)</x:f>
        <x:v>-0.35913291655341123</x:v>
      </x:c>
      <x:c r="G30" s="9" t="n">
        <x:f>D30/SUM($D$6:$D$127)</x:f>
        <x:v>0.010041022223121287</x:v>
      </x:c>
      <x:c r="H30" s="2" t="n">
        <x:v>2</x:v>
      </x:c>
      <x:c r="I30" s="10" t="n">
        <x:v>0.2178204420110125</x:v>
      </x:c>
      <x:c r="J30" s="8" t="n">
        <x:v>-1987</x:v>
      </x:c>
      <x:c r="K30" s="8" t="n">
        <x:v>-1909</x:v>
      </x:c>
      <x:c r="L30" s="8" t="n">
        <x:v>-657</x:v>
      </x:c>
      <x:c r="M30" s="8" t="n">
        <x:v>-732</x:v>
      </x:c>
      <x:c r="N30" s="2" t="n">
        <x:v>2026</x:v>
      </x:c>
      <x:c r="O30" s="2" t="str">
        <x:v>燃油</x:v>
      </x:c>
      <x:c r="P30" s="10" t="n">
        <x:v>33.68</x:v>
      </x:c>
      <x:c r="Q30" s="2" t="n">
        <x:v>3430</x:v>
      </x:c>
      <x:c r="R30" s="2"/>
      <x:c r="S30" s="2" t="str">
        <x:v>2.0T 精英版 7座</x:v>
      </x:c>
      <x:c r="T30" s="9" t="n">
        <x:f>H30/12</x:f>
        <x:v>0.16666666666666666</x:v>
      </x:c>
    </x:row>
    <x:row r="31" ht="22" customHeight="1">
      <x:c r="A31" s="2" t="str">
        <x:v>瑞风M3</x:v>
      </x:c>
      <x:c r="B31" s="2" t="str">
        <x:v>江淮瑞风</x:v>
      </x:c>
      <x:c r="C31" s="8" t="n">
        <x:v>9724</x:v>
      </x:c>
      <x:c r="D31" s="8" t="n">
        <x:v>8307</x:v>
      </x:c>
      <x:c r="E31" s="8" t="n">
        <x:f>D31-C31</x:f>
        <x:v>-1417</x:v>
      </x:c>
      <x:c r="F31" s="9" t="n">
        <x:f>IF(C31=0,"n.a.",E31/C31)</x:f>
        <x:v>-0.14572192513368984</x:v>
      </x:c>
      <x:c r="G31" s="9" t="n">
        <x:f>D31/SUM($D$6:$D$127)</x:f>
        <x:v>0.008844318906528315</x:v>
      </x:c>
      <x:c r="H31" s="2" t="n">
        <x:v>3</x:v>
      </x:c>
      <x:c r="I31" s="10" t="n">
        <x:v>0.1980706154061161</x:v>
      </x:c>
      <x:c r="J31" s="8" t="n">
        <x:v>-803</x:v>
      </x:c>
      <x:c r="K31" s="8" t="n">
        <x:v>-130</x:v>
      </x:c>
      <x:c r="L31" s="8" t="n">
        <x:v>-278</x:v>
      </x:c>
      <x:c r="M31" s="8" t="n">
        <x:v>-206</x:v>
      </x:c>
      <x:c r="N31" s="2" t="n">
        <x:v>2026</x:v>
      </x:c>
      <x:c r="O31" s="2" t="str">
        <x:v>燃油</x:v>
      </x:c>
      <x:c r="P31" s="10" t="n">
        <x:v>6.58</x:v>
      </x:c>
      <x:c r="Q31" s="2" t="n">
        <x:v>2810</x:v>
      </x:c>
      <x:c r="R31" s="2"/>
      <x:c r="S31" s="2" t="str">
        <x:v>1.8L 手动经典版 5座</x:v>
      </x:c>
      <x:c r="T31" s="9" t="n">
        <x:f>H31/12</x:f>
        <x:v>0.25</x:v>
      </x:c>
    </x:row>
    <x:row r="32" ht="22" customHeight="1">
      <x:c r="A32" s="2" t="str">
        <x:v>艾力绅</x:v>
      </x:c>
      <x:c r="B32" s="2" t="str">
        <x:v>本田</x:v>
      </x:c>
      <x:c r="C32" s="8" t="n">
        <x:v>19570</x:v>
      </x:c>
      <x:c r="D32" s="8" t="n">
        <x:v>7751</x:v>
      </x:c>
      <x:c r="E32" s="8" t="n">
        <x:f>D32-C32</x:f>
        <x:v>-11819</x:v>
      </x:c>
      <x:c r="F32" s="9" t="n">
        <x:f>IF(C32=0,"n.a.",E32/C32)</x:f>
        <x:v>-0.6039345937659684</x:v>
      </x:c>
      <x:c r="G32" s="9" t="n">
        <x:f>D32/SUM($D$6:$D$127)</x:f>
        <x:v>0.008252355344227877</x:v>
      </x:c>
      <x:c r="H32" s="2" t="n">
        <x:v>0</x:v>
      </x:c>
      <x:c r="I32" s="10" t="n">
        <x:v>0.2664872643281072</x:v>
      </x:c>
      <x:c r="J32" s="8" t="n">
        <x:v>-4446</x:v>
      </x:c>
      <x:c r="K32" s="8" t="n">
        <x:v>-2959</x:v>
      </x:c>
      <x:c r="L32" s="8" t="n">
        <x:v>-1691</x:v>
      </x:c>
      <x:c r="M32" s="8" t="n">
        <x:v>-2723</x:v>
      </x:c>
      <x:c r="N32" s="2" t="n">
        <x:v>2026</x:v>
      </x:c>
      <x:c r="O32" s="2" t="str">
        <x:v>插电混动</x:v>
      </x:c>
      <x:c r="P32" s="10" t="n">
        <x:v>24.98</x:v>
      </x:c>
      <x:c r="Q32" s="2" t="n">
        <x:v>2900</x:v>
      </x:c>
      <x:c r="R32" s="2"/>
      <x:c r="S32" s="2" t="str">
        <x:v>2.0L e:HEV经典版</x:v>
      </x:c>
      <x:c r="T32" s="9" t="n">
        <x:f>H32/12</x:f>
        <x:v>0</x:v>
      </x:c>
    </x:row>
    <x:row r="33" ht="22" customHeight="1">
      <x:c r="A33" s="2" t="str">
        <x:v>五菱征程</x:v>
      </x:c>
      <x:c r="B33" s="2" t="str">
        <x:v>五菱</x:v>
      </x:c>
      <x:c r="C33" s="8" t="n">
        <x:v>14753</x:v>
      </x:c>
      <x:c r="D33" s="8" t="n">
        <x:v>7500</x:v>
      </x:c>
      <x:c r="E33" s="8" t="n">
        <x:f>D33-C33</x:f>
        <x:v>-7253</x:v>
      </x:c>
      <x:c r="F33" s="9" t="n">
        <x:f>IF(C33=0,"n.a.",E33/C33)</x:f>
        <x:v>-0.49162882125669355</x:v>
      </x:c>
      <x:c r="G33" s="9" t="n">
        <x:f>D33/SUM($D$6:$D$127)</x:f>
        <x:v>0.007985119995059872</x:v>
      </x:c>
      <x:c r="H33" s="2" t="n">
        <x:v>1</x:v>
      </x:c>
      <x:c r="I33" s="10" t="n">
        <x:v>2.3182783496954515</x:v>
      </x:c>
      <x:c r="J33" s="8" t="n">
        <x:v>4772</x:v>
      </x:c>
      <x:c r="K33" s="8" t="n">
        <x:v>-439</x:v>
      </x:c>
      <x:c r="L33" s="8" t="n">
        <x:v>-588</x:v>
      </x:c>
      <x:c r="M33" s="8" t="n">
        <x:v>-10998</x:v>
      </x:c>
      <x:c r="N33" s="2" t="n">
        <x:v>2026</x:v>
      </x:c>
      <x:c r="O33" s="2" t="str">
        <x:v>燃油</x:v>
      </x:c>
      <x:c r="P33" s="10" t="n">
        <x:v>7.58</x:v>
      </x:c>
      <x:c r="Q33" s="2" t="n">
        <x:v>3180</x:v>
      </x:c>
      <x:c r="R33" s="2"/>
      <x:c r="S33" s="2" t="str">
        <x:v>1.5T 手动舒适型封窗车</x:v>
      </x:c>
      <x:c r="T33" s="9" t="n">
        <x:f>H33/12</x:f>
        <x:v>0.08333333333333333</x:v>
      </x:c>
    </x:row>
    <x:row r="34" ht="22" customHeight="1">
      <x:c r="A34" s="2" t="str">
        <x:v>大通G50</x:v>
      </x:c>
      <x:c r="B34" s="2" t="str">
        <x:v>大通</x:v>
      </x:c>
      <x:c r="C34" s="8" t="n">
        <x:v>13144</x:v>
      </x:c>
      <x:c r="D34" s="8" t="n">
        <x:v>7261</x:v>
      </x:c>
      <x:c r="E34" s="8" t="n">
        <x:f>D34-C34</x:f>
        <x:v>-5883</x:v>
      </x:c>
      <x:c r="F34" s="9" t="n">
        <x:f>IF(C34=0,"n.a.",E34/C34)</x:f>
        <x:v>-0.4475806451612903</x:v>
      </x:c>
      <x:c r="G34" s="9" t="n">
        <x:f>D34/SUM($D$6:$D$127)</x:f>
        <x:v>0.007730660837883965</x:v>
      </x:c>
      <x:c r="H34" s="2" t="n">
        <x:v>2</x:v>
      </x:c>
      <x:c r="I34" s="10" t="n">
        <x:v>0.2546985411949231</x:v>
      </x:c>
      <x:c r="J34" s="8" t="n">
        <x:v>-1045</x:v>
      </x:c>
      <x:c r="K34" s="8" t="n">
        <x:v>-950</x:v>
      </x:c>
      <x:c r="L34" s="8" t="n">
        <x:v>-2699</x:v>
      </x:c>
      <x:c r="M34" s="8" t="n">
        <x:v>-1189</x:v>
      </x:c>
      <x:c r="N34" s="2" t="n">
        <x:v>2026</x:v>
      </x:c>
      <x:c r="O34" s="2" t="str">
        <x:v>燃油</x:v>
      </x:c>
      <x:c r="P34" s="10" t="n">
        <x:v>8.98</x:v>
      </x:c>
      <x:c r="Q34" s="2" t="n">
        <x:v>2800</x:v>
      </x:c>
      <x:c r="R34" s="2"/>
      <x:c r="S34" s="2" t="str">
        <x:v>1.5T 手动舒适版</x:v>
      </x:c>
      <x:c r="T34" s="9" t="n">
        <x:f>H34/12</x:f>
        <x:v>0.16666666666666666</x:v>
      </x:c>
    </x:row>
    <x:row r="35" ht="22" customHeight="1">
      <x:c r="A35" s="2" t="str">
        <x:v>世纪</x:v>
      </x:c>
      <x:c r="B35" s="2" t="str">
        <x:v>别克</x:v>
      </x:c>
      <x:c r="C35" s="8" t="n">
        <x:v>10857</x:v>
      </x:c>
      <x:c r="D35" s="8" t="n">
        <x:v>6924</x:v>
      </x:c>
      <x:c r="E35" s="8" t="n">
        <x:f>D35-C35</x:f>
        <x:v>-3933</x:v>
      </x:c>
      <x:c r="F35" s="9" t="n">
        <x:f>IF(C35=0,"n.a.",E35/C35)</x:f>
        <x:v>-0.36225476651008565</x:v>
      </x:c>
      <x:c r="G35" s="9" t="n">
        <x:f>D35/SUM($D$6:$D$127)</x:f>
        <x:v>0.007371862779439274</x:v>
      </x:c>
      <x:c r="H35" s="2" t="n">
        <x:v>1</x:v>
      </x:c>
      <x:c r="I35" s="10" t="n">
        <x:v>0.3605026270095268</x:v>
      </x:c>
      <x:c r="J35" s="8" t="n">
        <x:v>-1123</x:v>
      </x:c>
      <x:c r="K35" s="8" t="n">
        <x:v>-895</x:v>
      </x:c>
      <x:c r="L35" s="8" t="n">
        <x:v>-768</x:v>
      </x:c>
      <x:c r="M35" s="8" t="n">
        <x:v>-1147</x:v>
      </x:c>
      <x:c r="N35" s="2" t="n">
        <x:v>2026</x:v>
      </x:c>
      <x:c r="O35" s="2" t="str">
        <x:v>燃油</x:v>
      </x:c>
      <x:c r="P35" s="10" t="n">
        <x:v>46.99</x:v>
      </x:c>
      <x:c r="Q35" s="2" t="n">
        <x:v>3130</x:v>
      </x:c>
      <x:c r="R35" s="2"/>
      <x:c r="S35" s="2" t="str">
        <x:v>2.0T 七座臻享款</x:v>
      </x:c>
      <x:c r="T35" s="9" t="n">
        <x:f>H35/12</x:f>
        <x:v>0.08333333333333333</x:v>
      </x:c>
    </x:row>
    <x:row r="36" ht="22" customHeight="1">
      <x:c r="A36" s="2" t="str">
        <x:v>五菱星光730</x:v>
      </x:c>
      <x:c r="B36" s="2" t="str">
        <x:v>五菱</x:v>
      </x:c>
      <x:c r="C36" s="8" t="n">
        <x:v>0</x:v>
      </x:c>
      <x:c r="D36" s="8" t="n">
        <x:v>6032</x:v>
      </x:c>
      <x:c r="E36" s="8" t="n">
        <x:f>D36-C36</x:f>
        <x:v>6032</x:v>
      </x:c>
      <x:c r="F36" s="9" t="str">
        <x:f>IF(C36=0,"n.a.",E36/C36)</x:f>
        <x:v>n.a.</x:v>
      </x:c>
      <x:c r="G36" s="9" t="n">
        <x:f>D36/SUM($D$6:$D$127)</x:f>
        <x:v>0.006422165841360153</x:v>
      </x:c>
      <x:c r="H36" s="2" t="n">
        <x:v>3</x:v>
      </x:c>
      <x:c r="I36" s="10" t="n">
        <x:v>1.9164803283595944</x:v>
      </x:c>
      <x:c r="J36" s="8" t="n">
        <x:v>0</x:v>
      </x:c>
      <x:c r="K36" s="8" t="n">
        <x:v>0</x:v>
      </x:c>
      <x:c r="L36" s="8" t="n">
        <x:v>0</x:v>
      </x:c>
      <x:c r="M36" s="8" t="n">
        <x:v>6032</x:v>
      </x:c>
      <x:c r="N36" s="2"/>
      <x:c r="O36" s="2"/>
      <x:c r="P36" s="10"/>
      <x:c r="Q36" s="2"/>
      <x:c r="R36" s="2"/>
      <x:c r="S36" s="2"/>
      <x:c r="T36" s="9" t="n">
        <x:f>H36/12</x:f>
        <x:v>0.25</x:v>
      </x:c>
    </x:row>
    <x:row r="37" ht="22" customHeight="1">
      <x:c r="A37" s="2" t="str">
        <x:v>星海V9</x:v>
      </x:c>
      <x:c r="B37" s="2" t="str">
        <x:v>东风风行</x:v>
      </x:c>
      <x:c r="C37" s="8" t="n">
        <x:v>4863</x:v>
      </x:c>
      <x:c r="D37" s="8" t="n">
        <x:v>4049</x:v>
      </x:c>
      <x:c r="E37" s="8" t="n">
        <x:f>D37-C37</x:f>
        <x:v>-814</x:v>
      </x:c>
      <x:c r="F37" s="9" t="n">
        <x:f>IF(C37=0,"n.a.",E37/C37)</x:f>
        <x:v>-0.16738638700390707</x:v>
      </x:c>
      <x:c r="G37" s="9" t="n">
        <x:f>D37/SUM($D$6:$D$127)</x:f>
        <x:v>0.004310900114666323</x:v>
      </x:c>
      <x:c r="H37" s="2" t="n">
        <x:v>8</x:v>
      </x:c>
      <x:c r="I37" s="10" t="n">
        <x:v>0.4952274764438404</x:v>
      </x:c>
      <x:c r="J37" s="8" t="n">
        <x:v>372</x:v>
      </x:c>
      <x:c r="K37" s="8" t="n">
        <x:v>-47</x:v>
      </x:c>
      <x:c r="L37" s="8" t="n">
        <x:v>-1123</x:v>
      </x:c>
      <x:c r="M37" s="8" t="n">
        <x:v>-16</x:v>
      </x:c>
      <x:c r="N37" s="2" t="n">
        <x:v>2026</x:v>
      </x:c>
      <x:c r="O37" s="2" t="str">
        <x:v>插电混动</x:v>
      </x:c>
      <x:c r="P37" s="10" t="n">
        <x:v>17.99</x:v>
      </x:c>
      <x:c r="Q37" s="2" t="n">
        <x:v>3018</x:v>
      </x:c>
      <x:c r="R37" s="2"/>
      <x:c r="S37" s="2" t="str">
        <x:v>1.5TD 越享系列 200km 舒适型</x:v>
      </x:c>
      <x:c r="T37" s="9" t="n">
        <x:f>H37/12</x:f>
        <x:v>0.6666666666666666</x:v>
      </x:c>
    </x:row>
    <x:row r="38" ht="22" customHeight="1">
      <x:c r="A38" s="2" t="str">
        <x:v>传祺E9</x:v>
      </x:c>
      <x:c r="B38" s="2" t="str">
        <x:v>广汽传祺</x:v>
      </x:c>
      <x:c r="C38" s="8" t="n">
        <x:v>12409</x:v>
      </x:c>
      <x:c r="D38" s="8" t="n">
        <x:v>3698</x:v>
      </x:c>
      <x:c r="E38" s="8" t="n">
        <x:f>D38-C38</x:f>
        <x:v>-8711</x:v>
      </x:c>
      <x:c r="F38" s="9" t="n">
        <x:f>IF(C38=0,"n.a.",E38/C38)</x:f>
        <x:v>-0.7019904907728262</x:v>
      </x:c>
      <x:c r="G38" s="9" t="n">
        <x:f>D38/SUM($D$6:$D$127)</x:f>
        <x:v>0.003937196498897521</x:v>
      </x:c>
      <x:c r="H38" s="2" t="n">
        <x:v>0</x:v>
      </x:c>
      <x:c r="I38" s="10" t="n">
        <x:v>0.29879193540524</x:v>
      </x:c>
      <x:c r="J38" s="8" t="n">
        <x:v>-1556</x:v>
      </x:c>
      <x:c r="K38" s="8" t="n">
        <x:v>-2200</x:v>
      </x:c>
      <x:c r="L38" s="8" t="n">
        <x:v>-2488</x:v>
      </x:c>
      <x:c r="M38" s="8" t="n">
        <x:v>-2467</x:v>
      </x:c>
      <x:c r="N38" s="2"/>
      <x:c r="O38" s="2"/>
      <x:c r="P38" s="10"/>
      <x:c r="Q38" s="2"/>
      <x:c r="R38" s="2"/>
      <x:c r="S38" s="2"/>
      <x:c r="T38" s="9" t="n">
        <x:f>H38/12</x:f>
        <x:v>0</x:v>
      </x:c>
    </x:row>
    <x:row r="39" ht="22" customHeight="1">
      <x:c r="A39" s="2" t="str">
        <x:v>大通G10</x:v>
      </x:c>
      <x:c r="B39" s="2" t="str">
        <x:v>大通</x:v>
      </x:c>
      <x:c r="C39" s="8" t="n">
        <x:v>3634</x:v>
      </x:c>
      <x:c r="D39" s="8" t="n">
        <x:v>3493</x:v>
      </x:c>
      <x:c r="E39" s="8" t="n">
        <x:f>D39-C39</x:f>
        <x:v>-141</x:v>
      </x:c>
      <x:c r="F39" s="9" t="n">
        <x:f>IF(C39=0,"n.a.",E39/C39)</x:f>
        <x:v>-0.03880022014309301</x:v>
      </x:c>
      <x:c r="G39" s="9" t="n">
        <x:f>D39/SUM($D$6:$D$127)</x:f>
        <x:v>0.0037189365523658847</x:v>
      </x:c>
      <x:c r="H39" s="2" t="n">
        <x:v>4</x:v>
      </x:c>
      <x:c r="I39" s="10" t="n">
        <x:v>0.156287192938554</x:v>
      </x:c>
      <x:c r="J39" s="8" t="n">
        <x:v>-159</x:v>
      </x:c>
      <x:c r="K39" s="8" t="n">
        <x:v>268</x:v>
      </x:c>
      <x:c r="L39" s="8" t="n">
        <x:v>31</x:v>
      </x:c>
      <x:c r="M39" s="8" t="n">
        <x:v>-281</x:v>
      </x:c>
      <x:c r="N39" s="2" t="n">
        <x:v>2026</x:v>
      </x:c>
      <x:c r="O39" s="2" t="str">
        <x:v>燃油</x:v>
      </x:c>
      <x:c r="P39" s="10" t="n">
        <x:v>10.8</x:v>
      </x:c>
      <x:c r="Q39" s="2" t="n">
        <x:v>3198</x:v>
      </x:c>
      <x:c r="R39" s="2"/>
      <x:c r="S39" s="2" t="str">
        <x:v>2.0L汽油 手动超值版</x:v>
      </x:c>
      <x:c r="T39" s="9" t="n">
        <x:f>H39/12</x:f>
        <x:v>0.3333333333333333</x:v>
      </x:c>
    </x:row>
    <x:row r="40" ht="22" customHeight="1">
      <x:c r="A40" s="2" t="str">
        <x:v>红旗HQ9新能源</x:v>
      </x:c>
      <x:c r="B40" s="2" t="str">
        <x:v>红旗</x:v>
      </x:c>
      <x:c r="C40" s="8" t="n">
        <x:v>2758</x:v>
      </x:c>
      <x:c r="D40" s="8" t="n">
        <x:v>3460</x:v>
      </x:c>
      <x:c r="E40" s="8" t="n">
        <x:f>D40-C40</x:f>
        <x:v>702</x:v>
      </x:c>
      <x:c r="F40" s="9" t="n">
        <x:f>IF(C40=0,"n.a.",E40/C40)</x:f>
        <x:v>0.25453226976069615</x:v>
      </x:c>
      <x:c r="G40" s="9" t="n">
        <x:f>D40/SUM($D$6:$D$127)</x:f>
        <x:v>0.003683802024387621</x:v>
      </x:c>
      <x:c r="H40" s="2" t="n">
        <x:v>6</x:v>
      </x:c>
      <x:c r="I40" s="10" t="n">
        <x:v>0.2222240784594345</x:v>
      </x:c>
      <x:c r="J40" s="8" t="n">
        <x:v>831</x:v>
      </x:c>
      <x:c r="K40" s="8" t="n">
        <x:v>877</x:v>
      </x:c>
      <x:c r="L40" s="8" t="n">
        <x:v>-784</x:v>
      </x:c>
      <x:c r="M40" s="8" t="n">
        <x:v>-222</x:v>
      </x:c>
      <x:c r="N40" s="2"/>
      <x:c r="O40" s="2"/>
      <x:c r="P40" s="10"/>
      <x:c r="Q40" s="2"/>
      <x:c r="R40" s="2"/>
      <x:c r="S40" s="2"/>
      <x:c r="T40" s="9" t="n">
        <x:f>H40/12</x:f>
        <x:v>0.5</x:v>
      </x:c>
    </x:row>
    <x:row r="41" ht="22" customHeight="1">
      <x:c r="A41" s="2" t="str">
        <x:v>荣威iMAX8新能源</x:v>
      </x:c>
      <x:c r="B41" s="2" t="str">
        <x:v>荣威</x:v>
      </x:c>
      <x:c r="C41" s="8" t="n">
        <x:v>1867</x:v>
      </x:c>
      <x:c r="D41" s="8" t="n">
        <x:v>3024</x:v>
      </x:c>
      <x:c r="E41" s="8" t="n">
        <x:f>D41-C41</x:f>
        <x:v>1157</x:v>
      </x:c>
      <x:c r="F41" s="9" t="n">
        <x:f>IF(C41=0,"n.a.",E41/C41)</x:f>
        <x:v>0.6197107659346546</x:v>
      </x:c>
      <x:c r="G41" s="9" t="n">
        <x:f>D41/SUM($D$6:$D$127)</x:f>
        <x:v>0.0032196003820081404</x:v>
      </x:c>
      <x:c r="H41" s="2" t="n">
        <x:v>11</x:v>
      </x:c>
      <x:c r="I41" s="10" t="n">
        <x:v>0.3797828442917638</x:v>
      </x:c>
      <x:c r="J41" s="8" t="n">
        <x:v>241</x:v>
      </x:c>
      <x:c r="K41" s="8" t="n">
        <x:v>445</x:v>
      </x:c>
      <x:c r="L41" s="8" t="n">
        <x:v>477</x:v>
      </x:c>
      <x:c r="M41" s="8" t="n">
        <x:v>-6</x:v>
      </x:c>
      <x:c r="N41" s="2" t="n">
        <x:v>2026</x:v>
      </x:c>
      <x:c r="O41" s="2" t="str">
        <x:v>插电混动</x:v>
      </x:c>
      <x:c r="P41" s="10" t="n">
        <x:v>19.99</x:v>
      </x:c>
      <x:c r="Q41" s="2" t="n">
        <x:v>3000</x:v>
      </x:c>
      <x:c r="R41" s="2" t="n">
        <x:v>2026</x:v>
      </x:c>
      <x:c r="S41" s="2" t="str">
        <x:v>荣威iMAX8新能源 2026款 DMH 陆尊舒享版</x:v>
      </x:c>
      <x:c r="T41" s="9" t="n">
        <x:f>H41/12</x:f>
        <x:v>0.9166666666666666</x:v>
      </x:c>
    </x:row>
    <x:row r="42" ht="22" customHeight="1">
      <x:c r="A42" s="2" t="str">
        <x:v>至境世家</x:v>
      </x:c>
      <x:c r="B42" s="2" t="str">
        <x:v>别克</x:v>
      </x:c>
      <x:c r="C42" s="8" t="n">
        <x:v>0</x:v>
      </x:c>
      <x:c r="D42" s="8" t="n">
        <x:v>2891</x:v>
      </x:c>
      <x:c r="E42" s="8" t="n">
        <x:f>D42-C42</x:f>
        <x:v>2891</x:v>
      </x:c>
      <x:c r="F42" s="9" t="str">
        <x:f>IF(C42=0,"n.a.",E42/C42)</x:f>
        <x:v>n.a.</x:v>
      </x:c>
      <x:c r="G42" s="9" t="n">
        <x:f>D42/SUM($D$6:$D$127)</x:f>
        <x:v>0.0030779975874290788</x:v>
      </x:c>
      <x:c r="H42" s="2" t="n">
        <x:v>2</x:v>
      </x:c>
      <x:c r="I42" s="10" t="n">
        <x:v>2.966633830603518</x:v>
      </x:c>
      <x:c r="J42" s="8" t="n">
        <x:v>0</x:v>
      </x:c>
      <x:c r="K42" s="8" t="n">
        <x:v>0</x:v>
      </x:c>
      <x:c r="L42" s="8" t="n">
        <x:v>0</x:v>
      </x:c>
      <x:c r="M42" s="8" t="n">
        <x:v>2891</x:v>
      </x:c>
      <x:c r="N42" s="2"/>
      <x:c r="O42" s="2"/>
      <x:c r="P42" s="10"/>
      <x:c r="Q42" s="2"/>
      <x:c r="R42" s="2"/>
      <x:c r="S42" s="2"/>
      <x:c r="T42" s="9" t="n">
        <x:f>H42/12</x:f>
        <x:v>0.16666666666666666</x:v>
      </x:c>
    </x:row>
    <x:row r="43" ht="22" customHeight="1">
      <x:c r="A43" s="2" t="str">
        <x:v>大通G50插电混动</x:v>
      </x:c>
      <x:c r="B43" s="2" t="str">
        <x:v>大通</x:v>
      </x:c>
      <x:c r="C43" s="8" t="n">
        <x:v>0</x:v>
      </x:c>
      <x:c r="D43" s="8" t="n">
        <x:v>2467</x:v>
      </x:c>
      <x:c r="E43" s="8" t="n">
        <x:f>D43-C43</x:f>
        <x:v>2467</x:v>
      </x:c>
      <x:c r="F43" s="9" t="str">
        <x:f>IF(C43=0,"n.a.",E43/C43)</x:f>
        <x:v>n.a.</x:v>
      </x:c>
      <x:c r="G43" s="9" t="n">
        <x:f>D43/SUM($D$6:$D$127)</x:f>
        <x:v>0.002626572137041694</x:v>
      </x:c>
      <x:c r="H43" s="2" t="n">
        <x:v>10</x:v>
      </x:c>
      <x:c r="I43" s="10" t="n">
        <x:v>0.5193114260522552</x:v>
      </x:c>
      <x:c r="J43" s="8" t="n">
        <x:v>129</x:v>
      </x:c>
      <x:c r="K43" s="8" t="n">
        <x:v>688</x:v>
      </x:c>
      <x:c r="L43" s="8" t="n">
        <x:v>788</x:v>
      </x:c>
      <x:c r="M43" s="8" t="n">
        <x:v>862</x:v>
      </x:c>
      <x:c r="N43" s="2"/>
      <x:c r="O43" s="2"/>
      <x:c r="P43" s="10"/>
      <x:c r="Q43" s="2"/>
      <x:c r="R43" s="2"/>
      <x:c r="S43" s="2"/>
      <x:c r="T43" s="9" t="n">
        <x:f>H43/12</x:f>
        <x:v>0.8333333333333334</x:v>
      </x:c>
    </x:row>
    <x:row r="44" ht="22" customHeight="1">
      <x:c r="A44" s="2" t="str">
        <x:v>红旗HQ9</x:v>
      </x:c>
      <x:c r="B44" s="2" t="str">
        <x:v>红旗</x:v>
      </x:c>
      <x:c r="C44" s="8" t="n">
        <x:v>2473</x:v>
      </x:c>
      <x:c r="D44" s="8" t="n">
        <x:v>2294</x:v>
      </x:c>
      <x:c r="E44" s="8" t="n">
        <x:f>D44-C44</x:f>
        <x:v>-179</x:v>
      </x:c>
      <x:c r="F44" s="9" t="n">
        <x:f>IF(C44=0,"n.a.",E44/C44)</x:f>
        <x:v>-0.07238172260412455</x:v>
      </x:c>
      <x:c r="G44" s="9" t="n">
        <x:f>D44/SUM($D$6:$D$127)</x:f>
        <x:v>0.002442382035822313</x:v>
      </x:c>
      <x:c r="H44" s="2" t="n">
        <x:v>5</x:v>
      </x:c>
      <x:c r="I44" s="10" t="n">
        <x:v>0.7620002632454053</x:v>
      </x:c>
      <x:c r="J44" s="8" t="n">
        <x:v>449</x:v>
      </x:c>
      <x:c r="K44" s="8" t="n">
        <x:v>-756</x:v>
      </x:c>
      <x:c r="L44" s="8" t="n">
        <x:v>213</x:v>
      </x:c>
      <x:c r="M44" s="8" t="n">
        <x:v>-85</x:v>
      </x:c>
      <x:c r="N44" s="2" t="n">
        <x:v>2026</x:v>
      </x:c>
      <x:c r="O44" s="2" t="str">
        <x:v>燃油</x:v>
      </x:c>
      <x:c r="P44" s="10" t="n">
        <x:v>34.88</x:v>
      </x:c>
      <x:c r="Q44" s="2" t="n">
        <x:v>3200</x:v>
      </x:c>
      <x:c r="R44" s="2"/>
      <x:c r="S44" s="2" t="str">
        <x:v>公务版</x:v>
      </x:c>
      <x:c r="T44" s="9" t="n">
        <x:f>H44/12</x:f>
        <x:v>0.4166666666666667</x:v>
      </x:c>
    </x:row>
    <x:row r="45" ht="22" customHeight="1">
      <x:c r="A45" s="2" t="str">
        <x:v>瑞风E3</x:v>
      </x:c>
      <x:c r="B45" s="2" t="str">
        <x:v>江淮瑞风</x:v>
      </x:c>
      <x:c r="C45" s="8" t="n">
        <x:v>2100</x:v>
      </x:c>
      <x:c r="D45" s="8" t="n">
        <x:v>1815</x:v>
      </x:c>
      <x:c r="E45" s="8" t="n">
        <x:f>D45-C45</x:f>
        <x:v>-285</x:v>
      </x:c>
      <x:c r="F45" s="9" t="n">
        <x:f>IF(C45=0,"n.a.",E45/C45)</x:f>
        <x:v>-0.1357142857142857</x:v>
      </x:c>
      <x:c r="G45" s="9" t="n">
        <x:f>D45/SUM($D$6:$D$127)</x:f>
        <x:v>0.0019323990388044891</x:v>
      </x:c>
      <x:c r="H45" s="2" t="n">
        <x:v>7</x:v>
      </x:c>
      <x:c r="I45" s="10" t="n">
        <x:v>0.3938569333256599</x:v>
      </x:c>
      <x:c r="J45" s="8" t="n">
        <x:v>-356</x:v>
      </x:c>
      <x:c r="K45" s="8" t="n">
        <x:v>65</x:v>
      </x:c>
      <x:c r="L45" s="8" t="n">
        <x:v>172</x:v>
      </x:c>
      <x:c r="M45" s="8" t="n">
        <x:v>-166</x:v>
      </x:c>
      <x:c r="N45" s="2" t="n">
        <x:v>2026</x:v>
      </x:c>
      <x:c r="O45" s="2" t="str">
        <x:v>纯电动</x:v>
      </x:c>
      <x:c r="P45" s="10" t="n">
        <x:v>14.49</x:v>
      </x:c>
      <x:c r="Q45" s="2" t="n">
        <x:v>3110</x:v>
      </x:c>
      <x:c r="R45" s="2"/>
      <x:c r="S45" s="2" t="str">
        <x:v>经典版</x:v>
      </x:c>
      <x:c r="T45" s="9" t="n">
        <x:f>H45/12</x:f>
        <x:v>0.5833333333333334</x:v>
      </x:c>
    </x:row>
    <x:row r="46" ht="22" customHeight="1">
      <x:c r="A46" s="2" t="str">
        <x:v>大家9</x:v>
      </x:c>
      <x:c r="B46" s="2" t="str">
        <x:v>大通</x:v>
      </x:c>
      <x:c r="C46" s="8" t="n">
        <x:v>2610</x:v>
      </x:c>
      <x:c r="D46" s="8" t="n">
        <x:v>1754</x:v>
      </x:c>
      <x:c r="E46" s="8" t="n">
        <x:f>D46-C46</x:f>
        <x:v>-856</x:v>
      </x:c>
      <x:c r="F46" s="9" t="n">
        <x:f>IF(C46=0,"n.a.",E46/C46)</x:f>
        <x:v>-0.32796934865900385</x:v>
      </x:c>
      <x:c r="G46" s="9" t="n">
        <x:f>D46/SUM($D$6:$D$127)</x:f>
        <x:v>0.0018674533961780021</x:v>
      </x:c>
      <x:c r="H46" s="2" t="n">
        <x:v>3</x:v>
      </x:c>
      <x:c r="I46" s="10" t="n">
        <x:v>0.6278786959661882</x:v>
      </x:c>
      <x:c r="J46" s="8" t="n">
        <x:v>233</x:v>
      </x:c>
      <x:c r="K46" s="8" t="n">
        <x:v>-127</x:v>
      </x:c>
      <x:c r="L46" s="8" t="n">
        <x:v>-558</x:v>
      </x:c>
      <x:c r="M46" s="8" t="n">
        <x:v>-404</x:v>
      </x:c>
      <x:c r="N46" s="2" t="n">
        <x:v>2026</x:v>
      </x:c>
      <x:c r="O46" s="2" t="str">
        <x:v>插电混动</x:v>
      </x:c>
      <x:c r="P46" s="10" t="n">
        <x:v>26.99</x:v>
      </x:c>
      <x:c r="Q46" s="2" t="n">
        <x:v>3200</x:v>
      </x:c>
      <x:c r="R46" s="2" t="n">
        <x:v>2025</x:v>
      </x:c>
      <x:c r="S46" s="2" t="str">
        <x:v>大家9 2025款 超混 超长续航版 行政版 七座</x:v>
      </x:c>
      <x:c r="T46" s="9" t="n">
        <x:f>H46/12</x:f>
        <x:v>0.25</x:v>
      </x:c>
    </x:row>
    <x:row r="47" ht="22" customHeight="1">
      <x:c r="A47" s="2" t="str">
        <x:v>大家7</x:v>
      </x:c>
      <x:c r="B47" s="2" t="str">
        <x:v>大通</x:v>
      </x:c>
      <x:c r="C47" s="8" t="n">
        <x:v>1490</x:v>
      </x:c>
      <x:c r="D47" s="8" t="n">
        <x:v>1601</x:v>
      </x:c>
      <x:c r="E47" s="8" t="n">
        <x:f>D47-C47</x:f>
        <x:v>111</x:v>
      </x:c>
      <x:c r="F47" s="9" t="n">
        <x:f>IF(C47=0,"n.a.",E47/C47)</x:f>
        <x:v>0.07449664429530202</x:v>
      </x:c>
      <x:c r="G47" s="9" t="n">
        <x:f>D47/SUM($D$6:$D$127)</x:f>
        <x:v>0.0017045569482787807</x:v>
      </x:c>
      <x:c r="H47" s="2" t="n">
        <x:v>6</x:v>
      </x:c>
      <x:c r="I47" s="10" t="n">
        <x:v>0.5111532038598293</x:v>
      </x:c>
      <x:c r="J47" s="8" t="n">
        <x:v>313</x:v>
      </x:c>
      <x:c r="K47" s="8" t="n">
        <x:v>164</x:v>
      </x:c>
      <x:c r="L47" s="8" t="n">
        <x:v>-264</x:v>
      </x:c>
      <x:c r="M47" s="8" t="n">
        <x:v>-102</x:v>
      </x:c>
      <x:c r="N47" s="2" t="n">
        <x:v>2026</x:v>
      </x:c>
      <x:c r="O47" s="2" t="str">
        <x:v>插电混动</x:v>
      </x:c>
      <x:c r="P47" s="10" t="n">
        <x:v>18.99</x:v>
      </x:c>
      <x:c r="Q47" s="2" t="n">
        <x:v>2975</x:v>
      </x:c>
      <x:c r="R47" s="2" t="n">
        <x:v>2025</x:v>
      </x:c>
      <x:c r="S47" s="2" t="str">
        <x:v>大家7 2025款 改款 超混 长续航版 悦享版 新上市</x:v>
      </x:c>
      <x:c r="T47" s="9" t="n">
        <x:f>H47/12</x:f>
        <x:v>0.5</x:v>
      </x:c>
    </x:row>
    <x:row r="48" ht="22" customHeight="1">
      <x:c r="A48" s="2" t="str">
        <x:v>风光380</x:v>
      </x:c>
      <x:c r="B48" s="2" t="str">
        <x:v>东风风光</x:v>
      </x:c>
      <x:c r="C48" s="8" t="n">
        <x:v>3029</x:v>
      </x:c>
      <x:c r="D48" s="8" t="n">
        <x:v>1521</x:v>
      </x:c>
      <x:c r="E48" s="8" t="n">
        <x:f>D48-C48</x:f>
        <x:v>-1508</x:v>
      </x:c>
      <x:c r="F48" s="9" t="n">
        <x:f>IF(C48=0,"n.a.",E48/C48)</x:f>
        <x:v>-0.4978540772532189</x:v>
      </x:c>
      <x:c r="G48" s="9" t="n">
        <x:f>D48/SUM($D$6:$D$127)</x:f>
        <x:v>0.0016193823349981422</x:v>
      </x:c>
      <x:c r="H48" s="2" t="n">
        <x:v>0</x:v>
      </x:c>
      <x:c r="I48" s="10" t="n">
        <x:v>0.3986514855077271</x:v>
      </x:c>
      <x:c r="J48" s="8" t="n">
        <x:v>-416</x:v>
      </x:c>
      <x:c r="K48" s="8" t="n">
        <x:v>-161</x:v>
      </x:c>
      <x:c r="L48" s="8" t="n">
        <x:v>-277</x:v>
      </x:c>
      <x:c r="M48" s="8" t="n">
        <x:v>-654</x:v>
      </x:c>
      <x:c r="N48" s="2" t="n">
        <x:v>2026</x:v>
      </x:c>
      <x:c r="O48" s="2" t="str">
        <x:v>燃油</x:v>
      </x:c>
      <x:c r="P48" s="10" t="n">
        <x:v>5.28</x:v>
      </x:c>
      <x:c r="Q48" s="2" t="n">
        <x:v>2850</x:v>
      </x:c>
      <x:c r="R48" s="2"/>
      <x:c r="S48" s="2" t="str">
        <x:v>1.5L 精典型厢车 2座</x:v>
      </x:c>
      <x:c r="T48" s="9" t="n">
        <x:f>H48/12</x:f>
        <x:v>0</x:v>
      </x:c>
    </x:row>
    <x:row r="49" ht="22" customHeight="1">
      <x:c r="A49" s="2" t="str">
        <x:v>王牌M7新能源</x:v>
      </x:c>
      <x:c r="B49" s="2" t="str">
        <x:v>北汽制造</x:v>
      </x:c>
      <x:c r="C49" s="8" t="n">
        <x:v>0</x:v>
      </x:c>
      <x:c r="D49" s="8" t="n">
        <x:v>1316</x:v>
      </x:c>
      <x:c r="E49" s="8" t="n">
        <x:f>D49-C49</x:f>
        <x:v>1316</x:v>
      </x:c>
      <x:c r="F49" s="9" t="str">
        <x:f>IF(C49=0,"n.a.",E49/C49)</x:f>
        <x:v>n.a.</x:v>
      </x:c>
      <x:c r="G49" s="9" t="n">
        <x:f>D49/SUM($D$6:$D$127)</x:f>
        <x:v>0.0014011223884665056</x:v>
      </x:c>
      <x:c r="H49" s="2" t="n">
        <x:v>3</x:v>
      </x:c>
      <x:c r="I49" s="10" t="n">
        <x:v>1.8091682286375304</x:v>
      </x:c>
      <x:c r="J49" s="8" t="n">
        <x:v>0</x:v>
      </x:c>
      <x:c r="K49" s="8" t="n">
        <x:v>0</x:v>
      </x:c>
      <x:c r="L49" s="8" t="n">
        <x:v>0</x:v>
      </x:c>
      <x:c r="M49" s="8" t="n">
        <x:v>1316</x:v>
      </x:c>
      <x:c r="N49" s="2"/>
      <x:c r="O49" s="2"/>
      <x:c r="P49" s="10"/>
      <x:c r="Q49" s="2"/>
      <x:c r="R49" s="2"/>
      <x:c r="S49" s="2"/>
      <x:c r="T49" s="9" t="n">
        <x:f>H49/12</x:f>
        <x:v>0.25</x:v>
      </x:c>
    </x:row>
    <x:row r="50" ht="22" customHeight="1">
      <x:c r="A50" s="2" t="str">
        <x:v>嘉华</x:v>
      </x:c>
      <x:c r="B50" s="2" t="str">
        <x:v>起亚</x:v>
      </x:c>
      <x:c r="C50" s="8" t="n">
        <x:v>1840</x:v>
      </x:c>
      <x:c r="D50" s="8" t="n">
        <x:v>1280</x:v>
      </x:c>
      <x:c r="E50" s="8" t="n">
        <x:f>D50-C50</x:f>
        <x:v>-560</x:v>
      </x:c>
      <x:c r="F50" s="9" t="n">
        <x:f>IF(C50=0,"n.a.",E50/C50)</x:f>
        <x:v>-0.30434782608695654</x:v>
      </x:c>
      <x:c r="G50" s="9" t="n">
        <x:f>D50/SUM($D$6:$D$127)</x:f>
        <x:v>0.0013627938124902183</x:v>
      </x:c>
      <x:c r="H50" s="2" t="n">
        <x:v>1</x:v>
      </x:c>
      <x:c r="I50" s="10" t="n">
        <x:v>0.2659189549938101</x:v>
      </x:c>
      <x:c r="J50" s="8" t="n">
        <x:v>-62</x:v>
      </x:c>
      <x:c r="K50" s="8" t="n">
        <x:v>-92</x:v>
      </x:c>
      <x:c r="L50" s="8" t="n">
        <x:v>-151</x:v>
      </x:c>
      <x:c r="M50" s="8" t="n">
        <x:v>-255</x:v>
      </x:c>
      <x:c r="N50" s="2" t="n">
        <x:v>2026</x:v>
      </x:c>
      <x:c r="O50" s="2" t="str">
        <x:v>燃油</x:v>
      </x:c>
      <x:c r="P50" s="10" t="n">
        <x:v>28.89</x:v>
      </x:c>
      <x:c r="Q50" s="2" t="n">
        <x:v>3090</x:v>
      </x:c>
      <x:c r="R50" s="2"/>
      <x:c r="S50" s="2" t="str">
        <x:v>2.0T豪华款</x:v>
      </x:c>
      <x:c r="T50" s="9" t="n">
        <x:f>H50/12</x:f>
        <x:v>0.08333333333333333</x:v>
      </x:c>
    </x:row>
    <x:row r="51" ht="22" customHeight="1">
      <x:c r="A51" s="2" t="str">
        <x:v>瑞风RF8新能源</x:v>
      </x:c>
      <x:c r="B51" s="2" t="str">
        <x:v>江淮瑞风</x:v>
      </x:c>
      <x:c r="C51" s="8" t="n">
        <x:v>1469</x:v>
      </x:c>
      <x:c r="D51" s="8" t="n">
        <x:v>1013</x:v>
      </x:c>
      <x:c r="E51" s="8" t="n">
        <x:f>D51-C51</x:f>
        <x:v>-456</x:v>
      </x:c>
      <x:c r="F51" s="9" t="n">
        <x:f>IF(C51=0,"n.a.",E51/C51)</x:f>
        <x:v>-0.31041524846834584</x:v>
      </x:c>
      <x:c r="G51" s="9" t="n">
        <x:f>D51/SUM($D$6:$D$127)</x:f>
        <x:v>0.0010785235406660868</x:v>
      </x:c>
      <x:c r="H51" s="2" t="n">
        <x:v>5</x:v>
      </x:c>
      <x:c r="I51" s="10" t="n">
        <x:v>0.6780643378446533</x:v>
      </x:c>
      <x:c r="J51" s="8" t="n">
        <x:v>202</x:v>
      </x:c>
      <x:c r="K51" s="8" t="n">
        <x:v>-52</x:v>
      </x:c>
      <x:c r="L51" s="8" t="n">
        <x:v>-283</x:v>
      </x:c>
      <x:c r="M51" s="8" t="n">
        <x:v>-323</x:v>
      </x:c>
      <x:c r="N51" s="2" t="n">
        <x:v>2026</x:v>
      </x:c>
      <x:c r="O51" s="2" t="str">
        <x:v>插电混动</x:v>
      </x:c>
      <x:c r="P51" s="10" t="n">
        <x:v>19.99</x:v>
      </x:c>
      <x:c r="Q51" s="2" t="n">
        <x:v>3100</x:v>
      </x:c>
      <x:c r="R51" s="2" t="n">
        <x:v>2026</x:v>
      </x:c>
      <x:c r="S51" s="2" t="str">
        <x:v>瑞风RF8新能源 2026款 悦享Pro</x:v>
      </x:c>
      <x:c r="T51" s="9" t="n">
        <x:f>H51/12</x:f>
        <x:v>0.4166666666666667</x:v>
      </x:c>
    </x:row>
    <x:row r="52" ht="22" customHeight="1">
      <x:c r="A52" s="2" t="str">
        <x:v>荣威iMAX8</x:v>
      </x:c>
      <x:c r="B52" s="2" t="str">
        <x:v>荣威</x:v>
      </x:c>
      <x:c r="C52" s="8" t="n">
        <x:v>2533</x:v>
      </x:c>
      <x:c r="D52" s="8" t="n">
        <x:v>968</x:v>
      </x:c>
      <x:c r="E52" s="8" t="n">
        <x:f>D52-C52</x:f>
        <x:v>-1565</x:v>
      </x:c>
      <x:c r="F52" s="9" t="n">
        <x:f>IF(C52=0,"n.a.",E52/C52)</x:f>
        <x:v>-0.6178444532175287</x:v>
      </x:c>
      <x:c r="G52" s="9" t="n">
        <x:f>D52/SUM($D$6:$D$127)</x:f>
        <x:v>0.0010306128206957275</x:v>
      </x:c>
      <x:c r="H52" s="2" t="n">
        <x:v>0</x:v>
      </x:c>
      <x:c r="I52" s="10" t="n">
        <x:v>0.6309404526509133</x:v>
      </x:c>
      <x:c r="J52" s="8" t="n">
        <x:v>-888</x:v>
      </x:c>
      <x:c r="K52" s="8" t="n">
        <x:v>-226</x:v>
      </x:c>
      <x:c r="L52" s="8" t="n">
        <x:v>-267</x:v>
      </x:c>
      <x:c r="M52" s="8" t="n">
        <x:v>-184</x:v>
      </x:c>
      <x:c r="N52" s="2" t="n">
        <x:v>2026</x:v>
      </x:c>
      <x:c r="O52" s="2" t="str">
        <x:v>燃油</x:v>
      </x:c>
      <x:c r="P52" s="10" t="n">
        <x:v>18.58</x:v>
      </x:c>
      <x:c r="Q52" s="2" t="n">
        <x:v>3000</x:v>
      </x:c>
      <x:c r="R52" s="2"/>
      <x:c r="S52" s="2" t="str">
        <x:v>400TGI 舒享版</x:v>
      </x:c>
      <x:c r="T52" s="9" t="n">
        <x:f>H52/12</x:f>
        <x:v>0</x:v>
      </x:c>
    </x:row>
    <x:row r="53" ht="22" customHeight="1">
      <x:c r="A53" s="2" t="str">
        <x:v>睿蓝8</x:v>
      </x:c>
      <x:c r="B53" s="2" t="str">
        <x:v>睿蓝汽车</x:v>
      </x:c>
      <x:c r="C53" s="8" t="n">
        <x:v>299</x:v>
      </x:c>
      <x:c r="D53" s="8" t="n">
        <x:v>952</x:v>
      </x:c>
      <x:c r="E53" s="8" t="n">
        <x:f>D53-C53</x:f>
        <x:v>653</x:v>
      </x:c>
      <x:c r="F53" s="9" t="n">
        <x:f>IF(C53=0,"n.a.",E53/C53)</x:f>
        <x:v>2.1839464882943145</x:v>
      </x:c>
      <x:c r="G53" s="9" t="n">
        <x:f>D53/SUM($D$6:$D$127)</x:f>
        <x:v>0.0010135778980395998</x:v>
      </x:c>
      <x:c r="H53" s="2" t="n">
        <x:v>10</x:v>
      </x:c>
      <x:c r="I53" s="10" t="n">
        <x:v>0.8271016674382154</x:v>
      </x:c>
      <x:c r="J53" s="8" t="n">
        <x:v>400</x:v>
      </x:c>
      <x:c r="K53" s="8" t="n">
        <x:v>99</x:v>
      </x:c>
      <x:c r="L53" s="8" t="n">
        <x:v>244</x:v>
      </x:c>
      <x:c r="M53" s="8" t="n">
        <x:v>-90</x:v>
      </x:c>
      <x:c r="N53" s="2" t="n">
        <x:v>2026</x:v>
      </x:c>
      <x:c r="O53" s="2" t="str">
        <x:v>纯电动</x:v>
      </x:c>
      <x:c r="P53" s="10" t="n">
        <x:v>12.78</x:v>
      </x:c>
      <x:c r="Q53" s="2" t="n">
        <x:v>2807</x:v>
      </x:c>
      <x:c r="R53" s="2"/>
      <x:c r="S53" s="2" t="str">
        <x:v>标准续航版 5座</x:v>
      </x:c>
      <x:c r="T53" s="9" t="n">
        <x:f>H53/12</x:f>
        <x:v>0.8333333333333334</x:v>
      </x:c>
    </x:row>
    <x:row r="54" ht="22" customHeight="1">
      <x:c r="A54" s="2" t="str">
        <x:v>沃尔沃EM90</x:v>
      </x:c>
      <x:c r="B54" s="2" t="str">
        <x:v>沃尔沃</x:v>
      </x:c>
      <x:c r="C54" s="8" t="n">
        <x:v>677</x:v>
      </x:c>
      <x:c r="D54" s="8" t="n">
        <x:v>809</x:v>
      </x:c>
      <x:c r="E54" s="8" t="n">
        <x:f>D54-C54</x:f>
        <x:v>132</x:v>
      </x:c>
      <x:c r="F54" s="9" t="n">
        <x:f>IF(C54=0,"n.a.",E54/C54)</x:f>
        <x:v>0.19497784342688332</x:v>
      </x:c>
      <x:c r="G54" s="9" t="n">
        <x:f>D54/SUM($D$6:$D$127)</x:f>
        <x:v>0.0008613282768004583</x:v>
      </x:c>
      <x:c r="H54" s="2" t="n">
        <x:v>9</x:v>
      </x:c>
      <x:c r="I54" s="10" t="n">
        <x:v>0.7155468007368219</x:v>
      </x:c>
      <x:c r="J54" s="8" t="n">
        <x:v>140</x:v>
      </x:c>
      <x:c r="K54" s="8" t="n">
        <x:v>-28</x:v>
      </x:c>
      <x:c r="L54" s="8" t="n">
        <x:v>46</x:v>
      </x:c>
      <x:c r="M54" s="8" t="n">
        <x:v>-26</x:v>
      </x:c>
      <x:c r="N54" s="2" t="n">
        <x:v>2026</x:v>
      </x:c>
      <x:c r="O54" s="2" t="str">
        <x:v>纯电动</x:v>
      </x:c>
      <x:c r="P54" s="10" t="n">
        <x:v>81.8</x:v>
      </x:c>
      <x:c r="Q54" s="2" t="n">
        <x:v>3205</x:v>
      </x:c>
      <x:c r="R54" s="2"/>
      <x:c r="S54" s="2" t="str">
        <x:v>Ultra 六座</x:v>
      </x:c>
      <x:c r="T54" s="9" t="n">
        <x:f>H54/12</x:f>
        <x:v>0.75</x:v>
      </x:c>
    </x:row>
    <x:row r="55" ht="22" customHeight="1">
      <x:c r="A55" s="2" t="str">
        <x:v>风光330</x:v>
      </x:c>
      <x:c r="B55" s="2" t="str">
        <x:v>东风风光</x:v>
      </x:c>
      <x:c r="C55" s="8" t="n">
        <x:v>1913</x:v>
      </x:c>
      <x:c r="D55" s="8" t="n">
        <x:v>407</x:v>
      </x:c>
      <x:c r="E55" s="8" t="n">
        <x:f>D55-C55</x:f>
        <x:v>-1506</x:v>
      </x:c>
      <x:c r="F55" s="9" t="n">
        <x:f>IF(C55=0,"n.a.",E55/C55)</x:f>
        <x:v>-0.7872451646628332</x:v>
      </x:c>
      <x:c r="G55" s="9" t="n">
        <x:f>D55/SUM($D$6:$D$127)</x:f>
        <x:v>0.0004333258450652491</x:v>
      </x:c>
      <x:c r="H55" s="2" t="n">
        <x:v>0</x:v>
      </x:c>
      <x:c r="I55" s="10" t="n">
        <x:v>0.4232538864116024</x:v>
      </x:c>
      <x:c r="J55" s="8" t="n">
        <x:v>-576</x:v>
      </x:c>
      <x:c r="K55" s="8" t="n">
        <x:v>-542</x:v>
      </x:c>
      <x:c r="L55" s="8" t="n">
        <x:v>-274</x:v>
      </x:c>
      <x:c r="M55" s="8" t="n">
        <x:v>-114</x:v>
      </x:c>
      <x:c r="N55" s="2" t="n">
        <x:v>2026</x:v>
      </x:c>
      <x:c r="O55" s="2" t="str">
        <x:v>燃油</x:v>
      </x:c>
      <x:c r="P55" s="10" t="n">
        <x:v>4.29</x:v>
      </x:c>
      <x:c r="Q55" s="2" t="n">
        <x:v>2725</x:v>
      </x:c>
      <x:c r="R55" s="2" t="n">
        <x:v>2023</x:v>
      </x:c>
      <x:c r="S55" s="2" t="str">
        <x:v>风光330 2023款 330S 1.5L 实用型</x:v>
      </x:c>
      <x:c r="T55" s="9" t="n">
        <x:f>H55/12</x:f>
        <x:v>0</x:v>
      </x:c>
    </x:row>
    <x:row r="56" ht="22" customHeight="1">
      <x:c r="A56" s="2" t="str">
        <x:v>途安</x:v>
      </x:c>
      <x:c r="B56" s="2" t="str">
        <x:v>大众</x:v>
      </x:c>
      <x:c r="C56" s="8" t="n">
        <x:v>897</x:v>
      </x:c>
      <x:c r="D56" s="8" t="n">
        <x:v>401</x:v>
      </x:c>
      <x:c r="E56" s="8" t="n">
        <x:f>D56-C56</x:f>
        <x:v>-496</x:v>
      </x:c>
      <x:c r="F56" s="9" t="n">
        <x:f>IF(C56=0,"n.a.",E56/C56)</x:f>
        <x:v>-0.5529542920847269</x:v>
      </x:c>
      <x:c r="G56" s="9" t="n">
        <x:f>D56/SUM($D$6:$D$127)</x:f>
        <x:v>0.00042693774906920115</x:v>
      </x:c>
      <x:c r="H56" s="2" t="n">
        <x:v>1</x:v>
      </x:c>
      <x:c r="I56" s="10" t="n">
        <x:v>0.8952132191102457</x:v>
      </x:c>
      <x:c r="J56" s="8" t="n">
        <x:v>-212</x:v>
      </x:c>
      <x:c r="K56" s="8" t="n">
        <x:v>-94</x:v>
      </x:c>
      <x:c r="L56" s="8" t="n">
        <x:v>-102</x:v>
      </x:c>
      <x:c r="M56" s="8" t="n">
        <x:v>-88</x:v>
      </x:c>
      <x:c r="N56" s="2" t="n">
        <x:v>2026</x:v>
      </x:c>
      <x:c r="O56" s="2" t="str">
        <x:v>燃油</x:v>
      </x:c>
      <x:c r="P56" s="10" t="n">
        <x:v>13.98</x:v>
      </x:c>
      <x:c r="Q56" s="2" t="n">
        <x:v>2678</x:v>
      </x:c>
      <x:c r="R56" s="2" t="n">
        <x:v>2015</x:v>
      </x:c>
      <x:c r="S56" s="2" t="str">
        <x:v>途安 2015款 1.4TSI 手动 风尚版5座</x:v>
      </x:c>
      <x:c r="T56" s="9" t="n">
        <x:f>H56/12</x:f>
        <x:v>0.08333333333333333</x:v>
      </x:c>
    </x:row>
    <x:row r="57" ht="22" customHeight="1">
      <x:c r="A57" s="2" t="str">
        <x:v>大通G90</x:v>
      </x:c>
      <x:c r="B57" s="2" t="str">
        <x:v>大通</x:v>
      </x:c>
      <x:c r="C57" s="8" t="n">
        <x:v>802</x:v>
      </x:c>
      <x:c r="D57" s="8" t="n">
        <x:v>368</x:v>
      </x:c>
      <x:c r="E57" s="8" t="n">
        <x:f>D57-C57</x:f>
        <x:v>-434</x:v>
      </x:c>
      <x:c r="F57" s="9" t="n">
        <x:f>IF(C57=0,"n.a.",E57/C57)</x:f>
        <x:v>-0.5411471321695761</x:v>
      </x:c>
      <x:c r="G57" s="9" t="n">
        <x:f>D57/SUM($D$6:$D$127)</x:f>
        <x:v>0.00039180322109093774</x:v>
      </x:c>
      <x:c r="H57" s="2" t="n">
        <x:v>1</x:v>
      </x:c>
      <x:c r="I57" s="10" t="n">
        <x:v>0.4116825405305571</x:v>
      </x:c>
      <x:c r="J57" s="8" t="n">
        <x:v>-160</x:v>
      </x:c>
      <x:c r="K57" s="8" t="n">
        <x:v>-89</x:v>
      </x:c>
      <x:c r="L57" s="8" t="n">
        <x:v>-83</x:v>
      </x:c>
      <x:c r="M57" s="8" t="n">
        <x:v>-102</x:v>
      </x:c>
      <x:c r="N57" s="2" t="n">
        <x:v>2026</x:v>
      </x:c>
      <x:c r="O57" s="2" t="str">
        <x:v>燃油</x:v>
      </x:c>
      <x:c r="P57" s="10" t="n">
        <x:v>19.99</x:v>
      </x:c>
      <x:c r="Q57" s="2" t="n">
        <x:v>3200</x:v>
      </x:c>
      <x:c r="R57" s="2"/>
      <x:c r="S57" s="2" t="str">
        <x:v>2.0T 星辉七座版</x:v>
      </x:c>
      <x:c r="T57" s="9" t="n">
        <x:f>H57/12</x:f>
        <x:v>0.08333333333333333</x:v>
      </x:c>
    </x:row>
    <x:row r="58" ht="22" customHeight="1">
      <x:c r="A58" s="2" t="str">
        <x:v>锐胜M8新能源</x:v>
      </x:c>
      <x:c r="B58" s="2" t="str">
        <x:v>北汽制造</x:v>
      </x:c>
      <x:c r="C58" s="8" t="n">
        <x:v>0</x:v>
      </x:c>
      <x:c r="D58" s="8" t="n">
        <x:v>324</x:v>
      </x:c>
      <x:c r="E58" s="8" t="n">
        <x:f>D58-C58</x:f>
        <x:v>324</x:v>
      </x:c>
      <x:c r="F58" s="9" t="str">
        <x:f>IF(C58=0,"n.a.",E58/C58)</x:f>
        <x:v>n.a.</x:v>
      </x:c>
      <x:c r="G58" s="9" t="n">
        <x:f>D58/SUM($D$6:$D$127)</x:f>
        <x:v>0.0003449571837865865</x:v>
      </x:c>
      <x:c r="H58" s="2" t="n">
        <x:v>3</x:v>
      </x:c>
      <x:c r="I58" s="10" t="n">
        <x:v>2.801054736350415</x:v>
      </x:c>
      <x:c r="J58" s="8" t="n">
        <x:v>0</x:v>
      </x:c>
      <x:c r="K58" s="8" t="n">
        <x:v>0</x:v>
      </x:c>
      <x:c r="L58" s="8" t="n">
        <x:v>0</x:v>
      </x:c>
      <x:c r="M58" s="8" t="n">
        <x:v>324</x:v>
      </x:c>
      <x:c r="N58" s="2"/>
      <x:c r="O58" s="2"/>
      <x:c r="P58" s="10"/>
      <x:c r="Q58" s="2"/>
      <x:c r="R58" s="2"/>
      <x:c r="S58" s="2"/>
      <x:c r="T58" s="9" t="n">
        <x:f>H58/12</x:f>
        <x:v>0.25</x:v>
      </x:c>
    </x:row>
    <x:row r="59" ht="22" customHeight="1">
      <x:c r="A59" s="2" t="str">
        <x:v>瑞风RF8</x:v>
      </x:c>
      <x:c r="B59" s="2" t="str">
        <x:v>江淮瑞风</x:v>
      </x:c>
      <x:c r="C59" s="8" t="n">
        <x:v>496</x:v>
      </x:c>
      <x:c r="D59" s="8" t="n">
        <x:v>301</x:v>
      </x:c>
      <x:c r="E59" s="8" t="n">
        <x:f>D59-C59</x:f>
        <x:v>-195</x:v>
      </x:c>
      <x:c r="F59" s="9" t="n">
        <x:f>IF(C59=0,"n.a.",E59/C59)</x:f>
        <x:v>-0.39314516129032256</x:v>
      </x:c>
      <x:c r="G59" s="9" t="n">
        <x:f>D59/SUM($D$6:$D$127)</x:f>
        <x:v>0.0003204694824684029</x:v>
      </x:c>
      <x:c r="H59" s="2" t="n">
        <x:v>4</x:v>
      </x:c>
      <x:c r="I59" s="10" t="n">
        <x:v>0.1598486607803244</x:v>
      </x:c>
      <x:c r="J59" s="8" t="n">
        <x:v>78</x:v>
      </x:c>
      <x:c r="K59" s="8" t="n">
        <x:v>-91</x:v>
      </x:c>
      <x:c r="L59" s="8" t="n">
        <x:v>-91</x:v>
      </x:c>
      <x:c r="M59" s="8" t="n">
        <x:v>-91</x:v>
      </x:c>
      <x:c r="N59" s="2" t="n">
        <x:v>2026</x:v>
      </x:c>
      <x:c r="O59" s="2" t="str">
        <x:v>燃油</x:v>
      </x:c>
      <x:c r="P59" s="10" t="n">
        <x:v>18.99</x:v>
      </x:c>
      <x:c r="Q59" s="2" t="n">
        <x:v>3100</x:v>
      </x:c>
      <x:c r="R59" s="2"/>
      <x:c r="S59" s="2" t="str">
        <x:v>2.0T 智聆版旅行版</x:v>
      </x:c>
      <x:c r="T59" s="9" t="n">
        <x:f>H59/12</x:f>
        <x:v>0.3333333333333333</x:v>
      </x:c>
    </x:row>
    <x:row r="60" ht="22" customHeight="1">
      <x:c r="A60" s="2" t="str">
        <x:v>比亚迪M9</x:v>
      </x:c>
      <x:c r="B60" s="2" t="str">
        <x:v>比亚迪</x:v>
      </x:c>
      <x:c r="C60" s="8" t="n">
        <x:v>0</x:v>
      </x:c>
      <x:c r="D60" s="8" t="n">
        <x:v>261</x:v>
      </x:c>
      <x:c r="E60" s="8" t="n">
        <x:f>D60-C60</x:f>
        <x:v>261</x:v>
      </x:c>
      <x:c r="F60" s="9" t="str">
        <x:f>IF(C60=0,"n.a.",E60/C60)</x:f>
        <x:v>n.a.</x:v>
      </x:c>
      <x:c r="G60" s="9" t="n">
        <x:f>D60/SUM($D$6:$D$127)</x:f>
        <x:v>0.00027788217582808356</x:v>
      </x:c>
      <x:c r="H60" s="2" t="n">
        <x:v>4</x:v>
      </x:c>
      <x:c r="I60" s="10" t="n">
        <x:v>2.718943590365355</x:v>
      </x:c>
      <x:c r="J60" s="8" t="n">
        <x:v>0</x:v>
      </x:c>
      <x:c r="K60" s="8" t="n">
        <x:v>0</x:v>
      </x:c>
      <x:c r="L60" s="8" t="n">
        <x:v>25</x:v>
      </x:c>
      <x:c r="M60" s="8" t="n">
        <x:v>236</x:v>
      </x:c>
      <x:c r="N60" s="2" t="n">
        <x:v>2026</x:v>
      </x:c>
      <x:c r="O60" s="2" t="str">
        <x:v>插电混动</x:v>
      </x:c>
      <x:c r="P60" s="10" t="n">
        <x:v>22.98</x:v>
      </x:c>
      <x:c r="Q60" s="2" t="n">
        <x:v>3045</x:v>
      </x:c>
      <x:c r="R60" s="2"/>
      <x:c r="S60" s="2" t="str">
        <x:v>1060 领航版</x:v>
      </x:c>
      <x:c r="T60" s="9" t="n">
        <x:f>H60/12</x:f>
        <x:v>0.3333333333333333</x:v>
      </x:c>
    </x:row>
    <x:row r="61" ht="22" customHeight="1">
      <x:c r="A61" s="2" t="str">
        <x:v>银河V900</x:v>
      </x:c>
      <x:c r="B61" s="2" t="str">
        <x:v>吉利银河</x:v>
      </x:c>
      <x:c r="C61" s="8" t="n">
        <x:v>0</x:v>
      </x:c>
      <x:c r="D61" s="8" t="n">
        <x:v>243</x:v>
      </x:c>
      <x:c r="E61" s="8" t="n">
        <x:f>D61-C61</x:f>
        <x:v>243</x:v>
      </x:c>
      <x:c r="F61" s="9" t="str">
        <x:f>IF(C61=0,"n.a.",E61/C61)</x:f>
        <x:v>n.a.</x:v>
      </x:c>
      <x:c r="G61" s="9" t="n">
        <x:f>D61/SUM($D$6:$D$127)</x:f>
        <x:v>0.00025871788783993986</x:v>
      </x:c>
      <x:c r="H61" s="2" t="n">
        <x:v>1</x:v>
      </x:c>
      <x:c r="I61" s="10" t="n">
        <x:v>3.3166247903554</x:v>
      </x:c>
      <x:c r="J61" s="8" t="n">
        <x:v>0</x:v>
      </x:c>
      <x:c r="K61" s="8" t="n">
        <x:v>0</x:v>
      </x:c>
      <x:c r="L61" s="8" t="n">
        <x:v>0</x:v>
      </x:c>
      <x:c r="M61" s="8" t="n">
        <x:v>243</x:v>
      </x:c>
      <x:c r="N61" s="2" t="n">
        <x:v>2026</x:v>
      </x:c>
      <x:c r="O61" s="2" t="str">
        <x:v>增程式</x:v>
      </x:c>
      <x:c r="P61" s="10" t="n">
        <x:v>30.98</x:v>
      </x:c>
      <x:c r="Q61" s="2" t="n">
        <x:v>3200</x:v>
      </x:c>
      <x:c r="R61" s="2"/>
      <x:c r="S61" s="2" t="str">
        <x:v>1180四驱Pro版</x:v>
      </x:c>
      <x:c r="T61" s="9" t="n">
        <x:f>H61/12</x:f>
        <x:v>0.08333333333333333</x:v>
      </x:c>
    </x:row>
    <x:row r="62" ht="22" customHeight="1">
      <x:c r="A62" s="2" t="str">
        <x:v>大通G70</x:v>
      </x:c>
      <x:c r="B62" s="2" t="str">
        <x:v>大通</x:v>
      </x:c>
      <x:c r="C62" s="8" t="n">
        <x:v>405</x:v>
      </x:c>
      <x:c r="D62" s="8" t="n">
        <x:v>236</x:v>
      </x:c>
      <x:c r="E62" s="8" t="n">
        <x:f>D62-C62</x:f>
        <x:v>-169</x:v>
      </x:c>
      <x:c r="F62" s="9" t="n">
        <x:f>IF(C62=0,"n.a.",E62/C62)</x:f>
        <x:v>-0.41728395061728396</x:v>
      </x:c>
      <x:c r="G62" s="9" t="n">
        <x:f>D62/SUM($D$6:$D$127)</x:f>
        <x:v>0.000251265109177884</x:v>
      </x:c>
      <x:c r="H62" s="2" t="n">
        <x:v>4</x:v>
      </x:c>
      <x:c r="I62" s="10" t="n">
        <x:v>0.5720182044300408</x:v>
      </x:c>
      <x:c r="J62" s="8" t="n">
        <x:v>86</x:v>
      </x:c>
      <x:c r="K62" s="8" t="n">
        <x:v>-5</x:v>
      </x:c>
      <x:c r="L62" s="8" t="n">
        <x:v>-90</x:v>
      </x:c>
      <x:c r="M62" s="8" t="n">
        <x:v>-160</x:v>
      </x:c>
      <x:c r="N62" s="2" t="n">
        <x:v>2026</x:v>
      </x:c>
      <x:c r="O62" s="2" t="str">
        <x:v>燃油</x:v>
      </x:c>
      <x:c r="P62" s="10" t="n">
        <x:v>14.98</x:v>
      </x:c>
      <x:c r="Q62" s="2" t="n">
        <x:v>2960</x:v>
      </x:c>
      <x:c r="R62" s="2"/>
      <x:c r="S62" s="2" t="str">
        <x:v>2.0T 自动舒享版 7座</x:v>
      </x:c>
      <x:c r="T62" s="9" t="n">
        <x:f>H62/12</x:f>
        <x:v>0.3333333333333333</x:v>
      </x:c>
    </x:row>
    <x:row r="63" ht="22" customHeight="1">
      <x:c r="A63" s="2" t="str">
        <x:v>合创V09</x:v>
      </x:c>
      <x:c r="B63" s="2" t="str">
        <x:v>合创汽车</x:v>
      </x:c>
      <x:c r="C63" s="8" t="n">
        <x:v>753</x:v>
      </x:c>
      <x:c r="D63" s="8" t="n">
        <x:v>175</x:v>
      </x:c>
      <x:c r="E63" s="8" t="n">
        <x:f>D63-C63</x:f>
        <x:v>-578</x:v>
      </x:c>
      <x:c r="F63" s="9" t="n">
        <x:f>IF(C63=0,"n.a.",E63/C63)</x:f>
        <x:v>-0.7675962815405046</x:v>
      </x:c>
      <x:c r="G63" s="9" t="n">
        <x:f>D63/SUM($D$6:$D$127)</x:f>
        <x:v>0.00018631946655139702</x:v>
      </x:c>
      <x:c r="H63" s="2" t="n">
        <x:v>2</x:v>
      </x:c>
      <x:c r="I63" s="10" t="n">
        <x:v>0.9261198406165768</x:v>
      </x:c>
      <x:c r="J63" s="8" t="n">
        <x:v>-389</x:v>
      </x:c>
      <x:c r="K63" s="8" t="n">
        <x:v>-107</x:v>
      </x:c>
      <x:c r="L63" s="8" t="n">
        <x:v>-67</x:v>
      </x:c>
      <x:c r="M63" s="8" t="n">
        <x:v>-15</x:v>
      </x:c>
      <x:c r="N63" s="2"/>
      <x:c r="O63" s="2"/>
      <x:c r="P63" s="10"/>
      <x:c r="Q63" s="2"/>
      <x:c r="R63" s="2"/>
      <x:c r="S63" s="2"/>
      <x:c r="T63" s="9" t="n">
        <x:f>H63/12</x:f>
        <x:v>0.16666666666666666</x:v>
      </x:c>
    </x:row>
    <x:row r="64" ht="22" customHeight="1">
      <x:c r="A64" s="2" t="str">
        <x:v>风光E380</x:v>
      </x:c>
      <x:c r="B64" s="2" t="str">
        <x:v>东风风光</x:v>
      </x:c>
      <x:c r="C64" s="8" t="n">
        <x:v>485</x:v>
      </x:c>
      <x:c r="D64" s="8" t="n">
        <x:v>159</x:v>
      </x:c>
      <x:c r="E64" s="8" t="n">
        <x:f>D64-C64</x:f>
        <x:v>-326</x:v>
      </x:c>
      <x:c r="F64" s="9" t="n">
        <x:f>IF(C64=0,"n.a.",E64/C64)</x:f>
        <x:v>-0.6721649484536083</x:v>
      </x:c>
      <x:c r="G64" s="9" t="n">
        <x:f>D64/SUM($D$6:$D$127)</x:f>
        <x:v>0.0001692845438952693</x:v>
      </x:c>
      <x:c r="H64" s="2" t="n">
        <x:v>1</x:v>
      </x:c>
      <x:c r="I64" s="10" t="n">
        <x:v>0.7389067257785219</x:v>
      </x:c>
      <x:c r="J64" s="8" t="n">
        <x:v>-74</x:v>
      </x:c>
      <x:c r="K64" s="8" t="n">
        <x:v>-133</x:v>
      </x:c>
      <x:c r="L64" s="8" t="n">
        <x:v>-96</x:v>
      </x:c>
      <x:c r="M64" s="8" t="n">
        <x:v>-23</x:v>
      </x:c>
      <x:c r="N64" s="2" t="n">
        <x:v>2026</x:v>
      </x:c>
      <x:c r="O64" s="2" t="str">
        <x:v>纯电动</x:v>
      </x:c>
      <x:c r="P64" s="10" t="n">
        <x:v>12.91</x:v>
      </x:c>
      <x:c r="Q64" s="2" t="n">
        <x:v>2850</x:v>
      </x:c>
      <x:c r="R64" s="2"/>
      <x:c r="S64" s="2" t="str">
        <x:v>换电版 5座</x:v>
      </x:c>
      <x:c r="T64" s="9" t="n">
        <x:f>H64/12</x:f>
        <x:v>0.08333333333333333</x:v>
      </x:c>
    </x:row>
    <x:row r="65" ht="22" customHeight="1">
      <x:c r="A65" s="2" t="str">
        <x:v>锐胜M8</x:v>
      </x:c>
      <x:c r="B65" s="2" t="str">
        <x:v>北汽制造</x:v>
      </x:c>
      <x:c r="C65" s="8" t="n">
        <x:v>0</x:v>
      </x:c>
      <x:c r="D65" s="8" t="n">
        <x:v>6</x:v>
      </x:c>
      <x:c r="E65" s="8" t="n">
        <x:f>D65-C65</x:f>
        <x:v>6</x:v>
      </x:c>
      <x:c r="F65" s="9" t="str">
        <x:f>IF(C65=0,"n.a.",E65/C65)</x:f>
        <x:v>n.a.</x:v>
      </x:c>
      <x:c r="G65" s="9" t="n">
        <x:f>D65/SUM($D$6:$D$127)</x:f>
        <x:v>0.000006388095996047898</x:v>
      </x:c>
      <x:c r="H65" s="2" t="n">
        <x:v>1</x:v>
      </x:c>
      <x:c r="I65" s="10" t="n">
        <x:v>3.3166247903554</x:v>
      </x:c>
      <x:c r="J65" s="8" t="n">
        <x:v>0</x:v>
      </x:c>
      <x:c r="K65" s="8" t="n">
        <x:v>0</x:v>
      </x:c>
      <x:c r="L65" s="8" t="n">
        <x:v>0</x:v>
      </x:c>
      <x:c r="M65" s="8" t="n">
        <x:v>6</x:v>
      </x:c>
      <x:c r="N65" s="2"/>
      <x:c r="O65" s="2"/>
      <x:c r="P65" s="10"/>
      <x:c r="Q65" s="2"/>
      <x:c r="R65" s="2"/>
      <x:c r="S65" s="2"/>
      <x:c r="T65" s="9" t="n">
        <x:f>H65/12</x:f>
        <x:v>0.08333333333333333</x:v>
      </x:c>
    </x:row>
    <x:row r="66" ht="22" customHeight="1">
      <x:c r="A66" s="2" t="str">
        <x:v>凌轩</x:v>
      </x:c>
      <x:c r="B66" s="2" t="str">
        <x:v>长安</x:v>
      </x:c>
      <x:c r="C66" s="8" t="n">
        <x:v>0</x:v>
      </x:c>
      <x:c r="D66" s="8" t="n">
        <x:v>0</x:v>
      </x:c>
      <x:c r="E66" s="8" t="n">
        <x:f>D66-C66</x:f>
        <x:v>0</x:v>
      </x:c>
      <x:c r="F66" s="9" t="str">
        <x:f>IF(C66=0,"n.a.",E66/C66)</x:f>
        <x:v>n.a.</x:v>
      </x:c>
      <x:c r="G66" s="9" t="n">
        <x:f>D66/SUM($D$6:$D$127)</x:f>
        <x:v>0</x:v>
      </x:c>
      <x:c r="H66" s="2" t="n">
        <x:v>0</x:v>
      </x:c>
      <x:c r="I66" s="10"/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2"/>
      <x:c r="O66" s="2"/>
      <x:c r="P66" s="10"/>
      <x:c r="Q66" s="2"/>
      <x:c r="R66" s="2"/>
      <x:c r="S66" s="2"/>
      <x:c r="T66" s="9" t="n">
        <x:f>H66/12</x:f>
        <x:v>0</x:v>
      </x:c>
    </x:row>
    <x:row r="67" ht="22" customHeight="1">
      <x:c r="A67" s="2" t="str">
        <x:v>轩朗</x:v>
      </x:c>
      <x:c r="B67" s="2" t="str">
        <x:v>力帆</x:v>
      </x:c>
      <x:c r="C67" s="8" t="n">
        <x:v>0</x:v>
      </x:c>
      <x:c r="D67" s="8" t="n">
        <x:v>0</x:v>
      </x:c>
      <x:c r="E67" s="8" t="n">
        <x:f>D67-C67</x:f>
        <x:v>0</x:v>
      </x:c>
      <x:c r="F67" s="9" t="str">
        <x:f>IF(C67=0,"n.a.",E67/C67)</x:f>
        <x:v>n.a.</x:v>
      </x:c>
      <x:c r="G67" s="9" t="n">
        <x:f>D67/SUM($D$6:$D$127)</x:f>
        <x:v>0</x:v>
      </x:c>
      <x:c r="H67" s="2" t="n">
        <x:v>0</x:v>
      </x:c>
      <x:c r="I67" s="10"/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2"/>
      <x:c r="O67" s="2"/>
      <x:c r="P67" s="10"/>
      <x:c r="Q67" s="2"/>
      <x:c r="R67" s="2"/>
      <x:c r="S67" s="2"/>
      <x:c r="T67" s="9" t="n">
        <x:f>H67/12</x:f>
        <x:v>0</x:v>
      </x:c>
    </x:row>
    <x:row r="68" ht="22" customHeight="1">
      <x:c r="A68" s="2" t="str">
        <x:v>比速M3</x:v>
      </x:c>
      <x:c r="B68" s="2" t="str">
        <x:v>比速汽车</x:v>
      </x:c>
      <x:c r="C68" s="8" t="n">
        <x:v>0</x:v>
      </x:c>
      <x:c r="D68" s="8" t="n">
        <x:v>0</x:v>
      </x:c>
      <x:c r="E68" s="8" t="n">
        <x:f>D68-C68</x:f>
        <x:v>0</x:v>
      </x:c>
      <x:c r="F68" s="9" t="str">
        <x:f>IF(C68=0,"n.a.",E68/C68)</x:f>
        <x:v>n.a.</x:v>
      </x:c>
      <x:c r="G68" s="9" t="n">
        <x:f>D68/SUM($D$6:$D$127)</x:f>
        <x:v>0</x:v>
      </x:c>
      <x:c r="H68" s="2" t="n">
        <x:v>0</x:v>
      </x:c>
      <x:c r="I68" s="10"/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2"/>
      <x:c r="O68" s="2"/>
      <x:c r="P68" s="10"/>
      <x:c r="Q68" s="2"/>
      <x:c r="R68" s="2"/>
      <x:c r="S68" s="2"/>
      <x:c r="T68" s="9" t="n">
        <x:f>H68/12</x:f>
        <x:v>0</x:v>
      </x:c>
    </x:row>
    <x:row r="69" ht="22" customHeight="1">
      <x:c r="A69" s="2" t="str">
        <x:v>启辰M50V</x:v>
      </x:c>
      <x:c r="B69" s="2" t="str">
        <x:v>启辰</x:v>
      </x:c>
      <x:c r="C69" s="8" t="n">
        <x:v>0</x:v>
      </x:c>
      <x:c r="D69" s="8" t="n">
        <x:v>0</x:v>
      </x:c>
      <x:c r="E69" s="8" t="n">
        <x:f>D69-C69</x:f>
        <x:v>0</x:v>
      </x:c>
      <x:c r="F69" s="9" t="str">
        <x:f>IF(C69=0,"n.a.",E69/C69)</x:f>
        <x:v>n.a.</x:v>
      </x:c>
      <x:c r="G69" s="9" t="n">
        <x:f>D69/SUM($D$6:$D$127)</x:f>
        <x:v>0</x:v>
      </x:c>
      <x:c r="H69" s="2" t="n">
        <x:v>0</x:v>
      </x:c>
      <x:c r="I69" s="10"/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2"/>
      <x:c r="O69" s="2"/>
      <x:c r="P69" s="10"/>
      <x:c r="Q69" s="2"/>
      <x:c r="R69" s="2"/>
      <x:c r="S69" s="2"/>
      <x:c r="T69" s="9" t="n">
        <x:f>H69/12</x:f>
        <x:v>0</x:v>
      </x:c>
    </x:row>
    <x:row r="70" ht="22" customHeight="1">
      <x:c r="A70" s="2" t="str">
        <x:v>昌河M70</x:v>
      </x:c>
      <x:c r="B70" s="2" t="str">
        <x:v>北汽昌河</x:v>
      </x:c>
      <x:c r="C70" s="8" t="n">
        <x:v>0</x:v>
      </x:c>
      <x:c r="D70" s="8" t="n">
        <x:v>0</x:v>
      </x:c>
      <x:c r="E70" s="8" t="n">
        <x:f>D70-C70</x:f>
        <x:v>0</x:v>
      </x:c>
      <x:c r="F70" s="9" t="str">
        <x:f>IF(C70=0,"n.a.",E70/C70)</x:f>
        <x:v>n.a.</x:v>
      </x:c>
      <x:c r="G70" s="9" t="n">
        <x:f>D70/SUM($D$6:$D$127)</x:f>
        <x:v>0</x:v>
      </x:c>
      <x:c r="H70" s="2" t="n">
        <x:v>0</x:v>
      </x:c>
      <x:c r="I70" s="10"/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2"/>
      <x:c r="O70" s="2"/>
      <x:c r="P70" s="10"/>
      <x:c r="Q70" s="2"/>
      <x:c r="R70" s="2"/>
      <x:c r="S70" s="2"/>
      <x:c r="T70" s="9" t="n">
        <x:f>H70/12</x:f>
        <x:v>0</x:v>
      </x:c>
    </x:row>
    <x:row r="71" ht="22" customHeight="1">
      <x:c r="A71" s="2" t="str">
        <x:v>福美来七座版</x:v>
      </x:c>
      <x:c r="B71" s="2" t="str">
        <x:v>海马</x:v>
      </x:c>
      <x:c r="C71" s="8" t="n">
        <x:v>0</x:v>
      </x:c>
      <x:c r="D71" s="8" t="n">
        <x:v>0</x:v>
      </x:c>
      <x:c r="E71" s="8" t="n">
        <x:f>D71-C71</x:f>
        <x:v>0</x:v>
      </x:c>
      <x:c r="F71" s="9" t="str">
        <x:f>IF(C71=0,"n.a.",E71/C71)</x:f>
        <x:v>n.a.</x:v>
      </x:c>
      <x:c r="G71" s="9" t="n">
        <x:f>D71/SUM($D$6:$D$127)</x:f>
        <x:v>0</x:v>
      </x:c>
      <x:c r="H71" s="2" t="n">
        <x:v>0</x:v>
      </x:c>
      <x:c r="I71" s="10"/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2"/>
      <x:c r="O71" s="2"/>
      <x:c r="P71" s="10"/>
      <x:c r="Q71" s="2"/>
      <x:c r="R71" s="2"/>
      <x:c r="S71" s="2"/>
      <x:c r="T71" s="9" t="n">
        <x:f>H71/12</x:f>
        <x:v>0</x:v>
      </x:c>
    </x:row>
    <x:row r="72" ht="22" customHeight="1">
      <x:c r="A72" s="2" t="str">
        <x:v>伽途ix5</x:v>
      </x:c>
      <x:c r="B72" s="2" t="str">
        <x:v>福田</x:v>
      </x:c>
      <x:c r="C72" s="8" t="n">
        <x:v>0</x:v>
      </x:c>
      <x:c r="D72" s="8" t="n">
        <x:v>0</x:v>
      </x:c>
      <x:c r="E72" s="8" t="n">
        <x:f>D72-C72</x:f>
        <x:v>0</x:v>
      </x:c>
      <x:c r="F72" s="9" t="str">
        <x:f>IF(C72=0,"n.a.",E72/C72)</x:f>
        <x:v>n.a.</x:v>
      </x:c>
      <x:c r="G72" s="9" t="n">
        <x:f>D72/SUM($D$6:$D$127)</x:f>
        <x:v>0</x:v>
      </x:c>
      <x:c r="H72" s="2" t="n">
        <x:v>0</x:v>
      </x:c>
      <x:c r="I72" s="10"/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2"/>
      <x:c r="O72" s="2"/>
      <x:c r="P72" s="10"/>
      <x:c r="Q72" s="2"/>
      <x:c r="R72" s="2"/>
      <x:c r="S72" s="2"/>
      <x:c r="T72" s="9" t="n">
        <x:f>H72/12</x:f>
        <x:v>0</x:v>
      </x:c>
    </x:row>
    <x:row r="73" ht="22" customHeight="1">
      <x:c r="A73" s="2" t="str">
        <x:v>上汽大通MAXUS EG10</x:v>
      </x:c>
      <x:c r="B73" s="2" t="str">
        <x:v>大通</x:v>
      </x:c>
      <x:c r="C73" s="8" t="n">
        <x:v>0</x:v>
      </x:c>
      <x:c r="D73" s="8" t="n">
        <x:v>0</x:v>
      </x:c>
      <x:c r="E73" s="8" t="n">
        <x:f>D73-C73</x:f>
        <x:v>0</x:v>
      </x:c>
      <x:c r="F73" s="9" t="str">
        <x:f>IF(C73=0,"n.a.",E73/C73)</x:f>
        <x:v>n.a.</x:v>
      </x:c>
      <x:c r="G73" s="9" t="n">
        <x:f>D73/SUM($D$6:$D$127)</x:f>
        <x:v>0</x:v>
      </x:c>
      <x:c r="H73" s="2" t="n">
        <x:v>0</x:v>
      </x:c>
      <x:c r="I73" s="10"/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2"/>
      <x:c r="O73" s="2"/>
      <x:c r="P73" s="10"/>
      <x:c r="Q73" s="2"/>
      <x:c r="R73" s="2"/>
      <x:c r="S73" s="2"/>
      <x:c r="T73" s="9" t="n">
        <x:f>H73/12</x:f>
        <x:v>0</x:v>
      </x:c>
    </x:row>
    <x:row r="74" ht="22" customHeight="1">
      <x:c r="A74" s="2" t="str">
        <x:v>英致727</x:v>
      </x:c>
      <x:c r="B74" s="2" t="str">
        <x:v>英致</x:v>
      </x:c>
      <x:c r="C74" s="8" t="n">
        <x:v>0</x:v>
      </x:c>
      <x:c r="D74" s="8" t="n">
        <x:v>0</x:v>
      </x:c>
      <x:c r="E74" s="8" t="n">
        <x:f>D74-C74</x:f>
        <x:v>0</x:v>
      </x:c>
      <x:c r="F74" s="9" t="str">
        <x:f>IF(C74=0,"n.a.",E74/C74)</x:f>
        <x:v>n.a.</x:v>
      </x:c>
      <x:c r="G74" s="9" t="n">
        <x:f>D74/SUM($D$6:$D$127)</x:f>
        <x:v>0</x:v>
      </x:c>
      <x:c r="H74" s="2" t="n">
        <x:v>0</x:v>
      </x:c>
      <x:c r="I74" s="10"/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2"/>
      <x:c r="O74" s="2"/>
      <x:c r="P74" s="10"/>
      <x:c r="Q74" s="2"/>
      <x:c r="R74" s="2"/>
      <x:c r="S74" s="2"/>
      <x:c r="T74" s="9" t="n">
        <x:f>H74/12</x:f>
        <x:v>0</x:v>
      </x:c>
    </x:row>
    <x:row r="75" ht="22" customHeight="1">
      <x:c r="A75" s="2" t="str">
        <x:v>高尔夫·嘉旅</x:v>
      </x:c>
      <x:c r="B75" s="2" t="str">
        <x:v>大众</x:v>
      </x:c>
      <x:c r="C75" s="8" t="n">
        <x:v>0</x:v>
      </x:c>
      <x:c r="D75" s="8" t="n">
        <x:v>0</x:v>
      </x:c>
      <x:c r="E75" s="8" t="n">
        <x:f>D75-C75</x:f>
        <x:v>0</x:v>
      </x:c>
      <x:c r="F75" s="9" t="str">
        <x:f>IF(C75=0,"n.a.",E75/C75)</x:f>
        <x:v>n.a.</x:v>
      </x:c>
      <x:c r="G75" s="9" t="n">
        <x:f>D75/SUM($D$6:$D$127)</x:f>
        <x:v>0</x:v>
      </x:c>
      <x:c r="H75" s="2" t="n">
        <x:v>0</x:v>
      </x:c>
      <x:c r="I75" s="10"/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2"/>
      <x:c r="O75" s="2"/>
      <x:c r="P75" s="10"/>
      <x:c r="Q75" s="2"/>
      <x:c r="R75" s="2"/>
      <x:c r="S75" s="2"/>
      <x:c r="T75" s="9" t="n">
        <x:f>H75/12</x:f>
        <x:v>0</x:v>
      </x:c>
    </x:row>
    <x:row r="76" ht="22" customHeight="1">
      <x:c r="A76" s="2" t="str">
        <x:v>五菱宏光S1</x:v>
      </x:c>
      <x:c r="B76" s="2" t="str">
        <x:v>五菱</x:v>
      </x:c>
      <x:c r="C76" s="8" t="n">
        <x:v>0</x:v>
      </x:c>
      <x:c r="D76" s="8" t="n">
        <x:v>0</x:v>
      </x:c>
      <x:c r="E76" s="8" t="n">
        <x:f>D76-C76</x:f>
        <x:v>0</x:v>
      </x:c>
      <x:c r="F76" s="9" t="str">
        <x:f>IF(C76=0,"n.a.",E76/C76)</x:f>
        <x:v>n.a.</x:v>
      </x:c>
      <x:c r="G76" s="9" t="n">
        <x:f>D76/SUM($D$6:$D$127)</x:f>
        <x:v>0</x:v>
      </x:c>
      <x:c r="H76" s="2" t="n">
        <x:v>0</x:v>
      </x:c>
      <x:c r="I76" s="10"/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2"/>
      <x:c r="O76" s="2"/>
      <x:c r="P76" s="10"/>
      <x:c r="Q76" s="2"/>
      <x:c r="R76" s="2"/>
      <x:c r="S76" s="2"/>
      <x:c r="T76" s="9" t="n">
        <x:f>H76/12</x:f>
        <x:v>0</x:v>
      </x:c>
    </x:row>
    <x:row r="77" ht="22" customHeight="1">
      <x:c r="A77" s="2" t="str">
        <x:v>北汽威旺M50F</x:v>
      </x:c>
      <x:c r="B77" s="2" t="str">
        <x:v>北汽威旺</x:v>
      </x:c>
      <x:c r="C77" s="8" t="n">
        <x:v>0</x:v>
      </x:c>
      <x:c r="D77" s="8" t="n">
        <x:v>0</x:v>
      </x:c>
      <x:c r="E77" s="8" t="n">
        <x:f>D77-C77</x:f>
        <x:v>0</x:v>
      </x:c>
      <x:c r="F77" s="9" t="str">
        <x:f>IF(C77=0,"n.a.",E77/C77)</x:f>
        <x:v>n.a.</x:v>
      </x:c>
      <x:c r="G77" s="9" t="n">
        <x:f>D77/SUM($D$6:$D$127)</x:f>
        <x:v>0</x:v>
      </x:c>
      <x:c r="H77" s="2" t="n">
        <x:v>0</x:v>
      </x:c>
      <x:c r="I77" s="10"/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2"/>
      <x:c r="O77" s="2"/>
      <x:c r="P77" s="10"/>
      <x:c r="Q77" s="2"/>
      <x:c r="R77" s="2"/>
      <x:c r="S77" s="2"/>
      <x:c r="T77" s="9" t="n">
        <x:f>H77/12</x:f>
        <x:v>0</x:v>
      </x:c>
    </x:row>
    <x:row r="78" ht="22" customHeight="1">
      <x:c r="A78" s="2" t="str">
        <x:v>别克GL6</x:v>
      </x:c>
      <x:c r="B78" s="2" t="str">
        <x:v>别克</x:v>
      </x:c>
      <x:c r="C78" s="8" t="n">
        <x:v>0</x:v>
      </x:c>
      <x:c r="D78" s="8" t="n">
        <x:v>0</x:v>
      </x:c>
      <x:c r="E78" s="8" t="n">
        <x:f>D78-C78</x:f>
        <x:v>0</x:v>
      </x:c>
      <x:c r="F78" s="9" t="str">
        <x:f>IF(C78=0,"n.a.",E78/C78)</x:f>
        <x:v>n.a.</x:v>
      </x:c>
      <x:c r="G78" s="9" t="n">
        <x:f>D78/SUM($D$6:$D$127)</x:f>
        <x:v>0</x:v>
      </x:c>
      <x:c r="H78" s="2" t="n">
        <x:v>0</x:v>
      </x:c>
      <x:c r="I78" s="10"/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2" t="n">
        <x:v>2023</x:v>
      </x:c>
      <x:c r="O78" s="2" t="str">
        <x:v>燃油</x:v>
      </x:c>
      <x:c r="P78" s="10" t="n">
        <x:v>14.99</x:v>
      </x:c>
      <x:c r="Q78" s="2" t="n">
        <x:v>2796</x:v>
      </x:c>
      <x:c r="R78" s="2" t="n">
        <x:v>2021</x:v>
      </x:c>
      <x:c r="S78" s="2" t="str">
        <x:v>别克GL6 2021款 323T轻混动 互联精英型</x:v>
      </x:c>
      <x:c r="T78" s="9" t="n">
        <x:f>H78/12</x:f>
        <x:v>0</x:v>
      </x:c>
    </x:row>
    <x:row r="79" ht="22" customHeight="1">
      <x:c r="A79" s="2" t="str">
        <x:v>北汽幻速H3</x:v>
      </x:c>
      <x:c r="B79" s="2" t="str">
        <x:v>北汽幻速</x:v>
      </x:c>
      <x:c r="C79" s="8" t="n">
        <x:v>0</x:v>
      </x:c>
      <x:c r="D79" s="8" t="n">
        <x:v>0</x:v>
      </x:c>
      <x:c r="E79" s="8" t="n">
        <x:f>D79-C79</x:f>
        <x:v>0</x:v>
      </x:c>
      <x:c r="F79" s="9" t="str">
        <x:f>IF(C79=0,"n.a.",E79/C79)</x:f>
        <x:v>n.a.</x:v>
      </x:c>
      <x:c r="G79" s="9" t="n">
        <x:f>D79/SUM($D$6:$D$127)</x:f>
        <x:v>0</x:v>
      </x:c>
      <x:c r="H79" s="2" t="n">
        <x:v>0</x:v>
      </x:c>
      <x:c r="I79" s="10"/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2"/>
      <x:c r="O79" s="2"/>
      <x:c r="P79" s="10"/>
      <x:c r="Q79" s="2"/>
      <x:c r="R79" s="2"/>
      <x:c r="S79" s="2"/>
      <x:c r="T79" s="9" t="n">
        <x:f>H79/12</x:f>
        <x:v>0</x:v>
      </x:c>
    </x:row>
    <x:row r="80" ht="22" customHeight="1">
      <x:c r="A80" s="2" t="str">
        <x:v>风尚·陆地方舟</x:v>
      </x:c>
      <x:c r="B80" s="2" t="str">
        <x:v>陆地方舟</x:v>
      </x:c>
      <x:c r="C80" s="8" t="n">
        <x:v>0</x:v>
      </x:c>
      <x:c r="D80" s="8" t="n">
        <x:v>0</x:v>
      </x:c>
      <x:c r="E80" s="8" t="n">
        <x:f>D80-C80</x:f>
        <x:v>0</x:v>
      </x:c>
      <x:c r="F80" s="9" t="str">
        <x:f>IF(C80=0,"n.a.",E80/C80)</x:f>
        <x:v>n.a.</x:v>
      </x:c>
      <x:c r="G80" s="9" t="n">
        <x:f>D80/SUM($D$6:$D$127)</x:f>
        <x:v>0</x:v>
      </x:c>
      <x:c r="H80" s="2" t="n">
        <x:v>0</x:v>
      </x:c>
      <x:c r="I80" s="10"/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2"/>
      <x:c r="O80" s="2"/>
      <x:c r="P80" s="10"/>
      <x:c r="Q80" s="2"/>
      <x:c r="R80" s="2"/>
      <x:c r="S80" s="2"/>
      <x:c r="T80" s="9" t="n">
        <x:f>H80/12</x:f>
        <x:v>0</x:v>
      </x:c>
    </x:row>
    <x:row r="81" ht="22" customHeight="1">
      <x:c r="A81" s="2" t="str">
        <x:v>艾瑞泽M7</x:v>
      </x:c>
      <x:c r="B81" s="2" t="str">
        <x:v>奇瑞</x:v>
      </x:c>
      <x:c r="C81" s="8" t="n">
        <x:v>0</x:v>
      </x:c>
      <x:c r="D81" s="8" t="n">
        <x:v>0</x:v>
      </x:c>
      <x:c r="E81" s="8" t="n">
        <x:f>D81-C81</x:f>
        <x:v>0</x:v>
      </x:c>
      <x:c r="F81" s="9" t="str">
        <x:f>IF(C81=0,"n.a.",E81/C81)</x:f>
        <x:v>n.a.</x:v>
      </x:c>
      <x:c r="G81" s="9" t="n">
        <x:f>D81/SUM($D$6:$D$127)</x:f>
        <x:v>0</x:v>
      </x:c>
      <x:c r="H81" s="2" t="n">
        <x:v>0</x:v>
      </x:c>
      <x:c r="I81" s="10"/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2"/>
      <x:c r="O81" s="2"/>
      <x:c r="P81" s="10"/>
      <x:c r="Q81" s="2"/>
      <x:c r="R81" s="2"/>
      <x:c r="S81" s="2"/>
      <x:c r="T81" s="9" t="n">
        <x:f>H81/12</x:f>
        <x:v>0</x:v>
      </x:c>
    </x:row>
    <x:row r="82" ht="22" customHeight="1">
      <x:c r="A82" s="2" t="str">
        <x:v>英致737</x:v>
      </x:c>
      <x:c r="B82" s="2" t="str">
        <x:v>英致</x:v>
      </x:c>
      <x:c r="C82" s="8" t="n">
        <x:v>0</x:v>
      </x:c>
      <x:c r="D82" s="8" t="n">
        <x:v>0</x:v>
      </x:c>
      <x:c r="E82" s="8" t="n">
        <x:f>D82-C82</x:f>
        <x:v>0</x:v>
      </x:c>
      <x:c r="F82" s="9" t="str">
        <x:f>IF(C82=0,"n.a.",E82/C82)</x:f>
        <x:v>n.a.</x:v>
      </x:c>
      <x:c r="G82" s="9" t="n">
        <x:f>D82/SUM($D$6:$D$127)</x:f>
        <x:v>0</x:v>
      </x:c>
      <x:c r="H82" s="2" t="n">
        <x:v>0</x:v>
      </x:c>
      <x:c r="I82" s="10"/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2"/>
      <x:c r="O82" s="2"/>
      <x:c r="P82" s="10"/>
      <x:c r="Q82" s="2"/>
      <x:c r="R82" s="2"/>
      <x:c r="S82" s="2"/>
      <x:c r="T82" s="9" t="n">
        <x:f>H82/12</x:f>
        <x:v>0</x:v>
      </x:c>
    </x:row>
    <x:row r="83" ht="22" customHeight="1">
      <x:c r="A83" s="2" t="str">
        <x:v>风行S500</x:v>
      </x:c>
      <x:c r="B83" s="2" t="str">
        <x:v>东风风行</x:v>
      </x:c>
      <x:c r="C83" s="8" t="n">
        <x:v>0</x:v>
      </x:c>
      <x:c r="D83" s="8" t="n">
        <x:v>0</x:v>
      </x:c>
      <x:c r="E83" s="8" t="n">
        <x:f>D83-C83</x:f>
        <x:v>0</x:v>
      </x:c>
      <x:c r="F83" s="9" t="str">
        <x:f>IF(C83=0,"n.a.",E83/C83)</x:f>
        <x:v>n.a.</x:v>
      </x:c>
      <x:c r="G83" s="9" t="n">
        <x:f>D83/SUM($D$6:$D$127)</x:f>
        <x:v>0</x:v>
      </x:c>
      <x:c r="H83" s="2" t="n">
        <x:v>0</x:v>
      </x:c>
      <x:c r="I83" s="10"/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2"/>
      <x:c r="O83" s="2"/>
      <x:c r="P83" s="10"/>
      <x:c r="Q83" s="2"/>
      <x:c r="R83" s="2"/>
      <x:c r="S83" s="2"/>
      <x:c r="T83" s="9" t="n">
        <x:f>H83/12</x:f>
        <x:v>0</x:v>
      </x:c>
    </x:row>
    <x:row r="84" ht="22" customHeight="1">
      <x:c r="A84" s="2" t="str">
        <x:v>金杯750</x:v>
      </x:c>
      <x:c r="B84" s="2" t="str">
        <x:v>金杯</x:v>
      </x:c>
      <x:c r="C84" s="8" t="n">
        <x:v>0</x:v>
      </x:c>
      <x:c r="D84" s="8" t="n">
        <x:v>0</x:v>
      </x:c>
      <x:c r="E84" s="8" t="n">
        <x:f>D84-C84</x:f>
        <x:v>0</x:v>
      </x:c>
      <x:c r="F84" s="9" t="str">
        <x:f>IF(C84=0,"n.a.",E84/C84)</x:f>
        <x:v>n.a.</x:v>
      </x:c>
      <x:c r="G84" s="9" t="n">
        <x:f>D84/SUM($D$6:$D$127)</x:f>
        <x:v>0</x:v>
      </x:c>
      <x:c r="H84" s="2" t="n">
        <x:v>0</x:v>
      </x:c>
      <x:c r="I84" s="10"/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2"/>
      <x:c r="O84" s="2"/>
      <x:c r="P84" s="10"/>
      <x:c r="Q84" s="2"/>
      <x:c r="R84" s="2"/>
      <x:c r="S84" s="2"/>
      <x:c r="T84" s="9" t="n">
        <x:f>H84/12</x:f>
        <x:v>0</x:v>
      </x:c>
    </x:row>
    <x:row r="85" ht="22" customHeight="1">
      <x:c r="A85" s="2" t="str">
        <x:v>K50</x:v>
      </x:c>
      <x:c r="B85" s="2" t="str">
        <x:v>开瑞</x:v>
      </x:c>
      <x:c r="C85" s="8" t="n">
        <x:v>0</x:v>
      </x:c>
      <x:c r="D85" s="8" t="n">
        <x:v>0</x:v>
      </x:c>
      <x:c r="E85" s="8" t="n">
        <x:f>D85-C85</x:f>
        <x:v>0</x:v>
      </x:c>
      <x:c r="F85" s="9" t="str">
        <x:f>IF(C85=0,"n.a.",E85/C85)</x:f>
        <x:v>n.a.</x:v>
      </x:c>
      <x:c r="G85" s="9" t="n">
        <x:f>D85/SUM($D$6:$D$127)</x:f>
        <x:v>0</x:v>
      </x:c>
      <x:c r="H85" s="2" t="n">
        <x:v>0</x:v>
      </x:c>
      <x:c r="I85" s="10"/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2"/>
      <x:c r="O85" s="2"/>
      <x:c r="P85" s="10"/>
      <x:c r="Q85" s="2"/>
      <x:c r="R85" s="2"/>
      <x:c r="S85" s="2"/>
      <x:c r="T85" s="9" t="n">
        <x:f>H85/12</x:f>
        <x:v>0</x:v>
      </x:c>
    </x:row>
    <x:row r="86" ht="22" customHeight="1">
      <x:c r="A86" s="2" t="str">
        <x:v>北汽幻速H2</x:v>
      </x:c>
      <x:c r="B86" s="2" t="str">
        <x:v>北汽幻速</x:v>
      </x:c>
      <x:c r="C86" s="8" t="n">
        <x:v>0</x:v>
      </x:c>
      <x:c r="D86" s="8" t="n">
        <x:v>0</x:v>
      </x:c>
      <x:c r="E86" s="8" t="n">
        <x:f>D86-C86</x:f>
        <x:v>0</x:v>
      </x:c>
      <x:c r="F86" s="9" t="str">
        <x:f>IF(C86=0,"n.a.",E86/C86)</x:f>
        <x:v>n.a.</x:v>
      </x:c>
      <x:c r="G86" s="9" t="n">
        <x:f>D86/SUM($D$6:$D$127)</x:f>
        <x:v>0</x:v>
      </x:c>
      <x:c r="H86" s="2" t="n">
        <x:v>0</x:v>
      </x:c>
      <x:c r="I86" s="10"/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2"/>
      <x:c r="O86" s="2"/>
      <x:c r="P86" s="10"/>
      <x:c r="Q86" s="2"/>
      <x:c r="R86" s="2"/>
      <x:c r="S86" s="2"/>
      <x:c r="T86" s="9" t="n">
        <x:f>H86/12</x:f>
        <x:v>0</x:v>
      </x:c>
    </x:row>
    <x:row r="87" ht="22" customHeight="1">
      <x:c r="A87" s="2" t="str">
        <x:v>华颂7</x:v>
      </x:c>
      <x:c r="B87" s="2" t="str">
        <x:v>华颂</x:v>
      </x:c>
      <x:c r="C87" s="8" t="n">
        <x:v>0</x:v>
      </x:c>
      <x:c r="D87" s="8" t="n">
        <x:v>0</x:v>
      </x:c>
      <x:c r="E87" s="8" t="n">
        <x:f>D87-C87</x:f>
        <x:v>0</x:v>
      </x:c>
      <x:c r="F87" s="9" t="str">
        <x:f>IF(C87=0,"n.a.",E87/C87)</x:f>
        <x:v>n.a.</x:v>
      </x:c>
      <x:c r="G87" s="9" t="n">
        <x:f>D87/SUM($D$6:$D$127)</x:f>
        <x:v>0</x:v>
      </x:c>
      <x:c r="H87" s="2" t="n">
        <x:v>0</x:v>
      </x:c>
      <x:c r="I87" s="10"/>
      <x:c r="J87" s="8" t="n">
        <x:v>0</x:v>
      </x:c>
      <x:c r="K87" s="8" t="n">
        <x:v>0</x:v>
      </x:c>
      <x:c r="L87" s="8" t="n">
        <x:v>0</x:v>
      </x:c>
      <x:c r="M87" s="8" t="n">
        <x:v>0</x:v>
      </x:c>
      <x:c r="N87" s="2"/>
      <x:c r="O87" s="2"/>
      <x:c r="P87" s="10"/>
      <x:c r="Q87" s="2"/>
      <x:c r="R87" s="2"/>
      <x:c r="S87" s="2"/>
      <x:c r="T87" s="9" t="n">
        <x:f>H87/12</x:f>
        <x:v>0</x:v>
      </x:c>
    </x:row>
    <x:row r="88" ht="22" customHeight="1">
      <x:c r="A88" s="2" t="str">
        <x:v>纳智捷大7 MPV</x:v>
      </x:c>
      <x:c r="B88" s="2" t="str">
        <x:v>纳智捷</x:v>
      </x:c>
      <x:c r="C88" s="8" t="n">
        <x:v>0</x:v>
      </x:c>
      <x:c r="D88" s="8" t="n">
        <x:v>0</x:v>
      </x:c>
      <x:c r="E88" s="8" t="n">
        <x:f>D88-C88</x:f>
        <x:v>0</x:v>
      </x:c>
      <x:c r="F88" s="9" t="str">
        <x:f>IF(C88=0,"n.a.",E88/C88)</x:f>
        <x:v>n.a.</x:v>
      </x:c>
      <x:c r="G88" s="9" t="n">
        <x:f>D88/SUM($D$6:$D$127)</x:f>
        <x:v>0</x:v>
      </x:c>
      <x:c r="H88" s="2" t="n">
        <x:v>0</x:v>
      </x:c>
      <x:c r="I88" s="10"/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2"/>
      <x:c r="O88" s="2"/>
      <x:c r="P88" s="10"/>
      <x:c r="Q88" s="2"/>
      <x:c r="R88" s="2"/>
      <x:c r="S88" s="2"/>
      <x:c r="T88" s="9" t="n">
        <x:f>H88/12</x:f>
        <x:v>0</x:v>
      </x:c>
    </x:row>
    <x:row r="89" ht="22" customHeight="1">
      <x:c r="A89" s="2" t="str">
        <x:v>风光</x:v>
      </x:c>
      <x:c r="B89" s="2" t="str">
        <x:v>东风小康</x:v>
      </x:c>
      <x:c r="C89" s="8" t="n">
        <x:v>0</x:v>
      </x:c>
      <x:c r="D89" s="8" t="n">
        <x:v>0</x:v>
      </x:c>
      <x:c r="E89" s="8" t="n">
        <x:f>D89-C89</x:f>
        <x:v>0</x:v>
      </x:c>
      <x:c r="F89" s="9" t="str">
        <x:f>IF(C89=0,"n.a.",E89/C89)</x:f>
        <x:v>n.a.</x:v>
      </x:c>
      <x:c r="G89" s="9" t="n">
        <x:f>D89/SUM($D$6:$D$127)</x:f>
        <x:v>0</x:v>
      </x:c>
      <x:c r="H89" s="2" t="n">
        <x:v>0</x:v>
      </x:c>
      <x:c r="I89" s="10"/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2"/>
      <x:c r="O89" s="2"/>
      <x:c r="P89" s="10"/>
      <x:c r="Q89" s="2"/>
      <x:c r="R89" s="2"/>
      <x:c r="S89" s="2"/>
      <x:c r="T89" s="9" t="n">
        <x:f>H89/12</x:f>
        <x:v>0</x:v>
      </x:c>
    </x:row>
    <x:row r="90" ht="22" customHeight="1">
      <x:c r="A90" s="2" t="str">
        <x:v>星朗</x:v>
      </x:c>
      <x:c r="B90" s="2" t="str">
        <x:v>广汽吉奥</x:v>
      </x:c>
      <x:c r="C90" s="8" t="n">
        <x:v>0</x:v>
      </x:c>
      <x:c r="D90" s="8" t="n">
        <x:v>0</x:v>
      </x:c>
      <x:c r="E90" s="8" t="n">
        <x:f>D90-C90</x:f>
        <x:v>0</x:v>
      </x:c>
      <x:c r="F90" s="9" t="str">
        <x:f>IF(C90=0,"n.a.",E90/C90)</x:f>
        <x:v>n.a.</x:v>
      </x:c>
      <x:c r="G90" s="9" t="n">
        <x:f>D90/SUM($D$6:$D$127)</x:f>
        <x:v>0</x:v>
      </x:c>
      <x:c r="H90" s="2" t="n">
        <x:v>0</x:v>
      </x:c>
      <x:c r="I90" s="10"/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2"/>
      <x:c r="O90" s="2"/>
      <x:c r="P90" s="10"/>
      <x:c r="Q90" s="2"/>
      <x:c r="R90" s="2"/>
      <x:c r="S90" s="2"/>
      <x:c r="T90" s="9" t="n">
        <x:f>H90/12</x:f>
        <x:v>0</x:v>
      </x:c>
    </x:row>
    <x:row r="91" ht="22" customHeight="1">
      <x:c r="A91" s="2" t="str">
        <x:v>五菱宏光S</x:v>
      </x:c>
      <x:c r="B91" s="2" t="str">
        <x:v>五菱</x:v>
      </x:c>
      <x:c r="C91" s="8" t="n">
        <x:v>0</x:v>
      </x:c>
      <x:c r="D91" s="8" t="n">
        <x:v>0</x:v>
      </x:c>
      <x:c r="E91" s="8" t="n">
        <x:f>D91-C91</x:f>
        <x:v>0</x:v>
      </x:c>
      <x:c r="F91" s="9" t="str">
        <x:f>IF(C91=0,"n.a.",E91/C91)</x:f>
        <x:v>n.a.</x:v>
      </x:c>
      <x:c r="G91" s="9" t="n">
        <x:f>D91/SUM($D$6:$D$127)</x:f>
        <x:v>0</x:v>
      </x:c>
      <x:c r="H91" s="2" t="n">
        <x:v>0</x:v>
      </x:c>
      <x:c r="I91" s="10"/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2" t="n">
        <x:v>2021</x:v>
      </x:c>
      <x:c r="O91" s="2" t="str">
        <x:v>燃油</x:v>
      </x:c>
      <x:c r="P91" s="10" t="n">
        <x:v>5.39</x:v>
      </x:c>
      <x:c r="Q91" s="2" t="n">
        <x:v>2720</x:v>
      </x:c>
      <x:c r="R91" s="2" t="n">
        <x:v>2021</x:v>
      </x:c>
      <x:c r="S91" s="2" t="str">
        <x:v>五菱宏光S 2021款 改款 1.5L 基本型</x:v>
      </x:c>
      <x:c r="T91" s="9" t="n">
        <x:f>H91/12</x:f>
        <x:v>0</x:v>
      </x:c>
    </x:row>
    <x:row r="92" ht="22" customHeight="1">
      <x:c r="A92" s="2" t="str">
        <x:v>逸致</x:v>
      </x:c>
      <x:c r="B92" s="2" t="str">
        <x:v>丰田</x:v>
      </x:c>
      <x:c r="C92" s="8" t="n">
        <x:v>0</x:v>
      </x:c>
      <x:c r="D92" s="8" t="n">
        <x:v>0</x:v>
      </x:c>
      <x:c r="E92" s="8" t="n">
        <x:f>D92-C92</x:f>
        <x:v>0</x:v>
      </x:c>
      <x:c r="F92" s="9" t="str">
        <x:f>IF(C92=0,"n.a.",E92/C92)</x:f>
        <x:v>n.a.</x:v>
      </x:c>
      <x:c r="G92" s="9" t="n">
        <x:f>D92/SUM($D$6:$D$127)</x:f>
        <x:v>0</x:v>
      </x:c>
      <x:c r="H92" s="2" t="n">
        <x:v>0</x:v>
      </x:c>
      <x:c r="I92" s="10"/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2"/>
      <x:c r="O92" s="2"/>
      <x:c r="P92" s="10"/>
      <x:c r="Q92" s="2"/>
      <x:c r="R92" s="2"/>
      <x:c r="S92" s="2"/>
      <x:c r="T92" s="9" t="n">
        <x:f>H92/12</x:f>
        <x:v>0</x:v>
      </x:c>
    </x:row>
    <x:row r="93" ht="22" customHeight="1">
      <x:c r="A93" s="2" t="str">
        <x:v>马自达8</x:v>
      </x:c>
      <x:c r="B93" s="2" t="str">
        <x:v>马自达</x:v>
      </x:c>
      <x:c r="C93" s="8" t="n">
        <x:v>0</x:v>
      </x:c>
      <x:c r="D93" s="8" t="n">
        <x:v>0</x:v>
      </x:c>
      <x:c r="E93" s="8" t="n">
        <x:f>D93-C93</x:f>
        <x:v>0</x:v>
      </x:c>
      <x:c r="F93" s="9" t="str">
        <x:f>IF(C93=0,"n.a.",E93/C93)</x:f>
        <x:v>n.a.</x:v>
      </x:c>
      <x:c r="G93" s="9" t="n">
        <x:f>D93/SUM($D$6:$D$127)</x:f>
        <x:v>0</x:v>
      </x:c>
      <x:c r="H93" s="2" t="n">
        <x:v>0</x:v>
      </x:c>
      <x:c r="I93" s="10"/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2"/>
      <x:c r="O93" s="2"/>
      <x:c r="P93" s="10"/>
      <x:c r="Q93" s="2"/>
      <x:c r="R93" s="2"/>
      <x:c r="S93" s="2"/>
      <x:c r="T93" s="9" t="n">
        <x:f>H93/12</x:f>
        <x:v>0</x:v>
      </x:c>
    </x:row>
    <x:row r="94" ht="22" customHeight="1">
      <x:c r="A94" s="2" t="str">
        <x:v>纳智捷MASTER CEO</x:v>
      </x:c>
      <x:c r="B94" s="2" t="str">
        <x:v>纳智捷</x:v>
      </x:c>
      <x:c r="C94" s="8" t="n">
        <x:v>0</x:v>
      </x:c>
      <x:c r="D94" s="8" t="n">
        <x:v>0</x:v>
      </x:c>
      <x:c r="E94" s="8" t="n">
        <x:f>D94-C94</x:f>
        <x:v>0</x:v>
      </x:c>
      <x:c r="F94" s="9" t="str">
        <x:f>IF(C94=0,"n.a.",E94/C94)</x:f>
        <x:v>n.a.</x:v>
      </x:c>
      <x:c r="G94" s="9" t="n">
        <x:f>D94/SUM($D$6:$D$127)</x:f>
        <x:v>0</x:v>
      </x:c>
      <x:c r="H94" s="2" t="n">
        <x:v>0</x:v>
      </x:c>
      <x:c r="I94" s="10"/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2"/>
      <x:c r="O94" s="2"/>
      <x:c r="P94" s="10"/>
      <x:c r="Q94" s="2"/>
      <x:c r="R94" s="2"/>
      <x:c r="S94" s="2"/>
      <x:c r="T94" s="9" t="n">
        <x:f>H94/12</x:f>
        <x:v>0</x:v>
      </x:c>
    </x:row>
    <x:row r="95" ht="22" customHeight="1">
      <x:c r="A95" s="2" t="str">
        <x:v>风行CM7</x:v>
      </x:c>
      <x:c r="B95" s="2" t="str">
        <x:v>东风风行</x:v>
      </x:c>
      <x:c r="C95" s="8" t="n">
        <x:v>0</x:v>
      </x:c>
      <x:c r="D95" s="8" t="n">
        <x:v>0</x:v>
      </x:c>
      <x:c r="E95" s="8" t="n">
        <x:f>D95-C95</x:f>
        <x:v>0</x:v>
      </x:c>
      <x:c r="F95" s="9" t="str">
        <x:f>IF(C95=0,"n.a.",E95/C95)</x:f>
        <x:v>n.a.</x:v>
      </x:c>
      <x:c r="G95" s="9" t="n">
        <x:f>D95/SUM($D$6:$D$127)</x:f>
        <x:v>0</x:v>
      </x:c>
      <x:c r="H95" s="2" t="n">
        <x:v>0</x:v>
      </x:c>
      <x:c r="I95" s="10"/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2"/>
      <x:c r="O95" s="2"/>
      <x:c r="P95" s="10"/>
      <x:c r="Q95" s="2"/>
      <x:c r="R95" s="2"/>
      <x:c r="S95" s="2"/>
      <x:c r="T95" s="9" t="n">
        <x:f>H95/12</x:f>
        <x:v>0</x:v>
      </x:c>
    </x:row>
    <x:row r="96" ht="22" customHeight="1">
      <x:c r="A96" s="2" t="str">
        <x:v>瑞风</x:v>
      </x:c>
      <x:c r="B96" s="2" t="str">
        <x:v>江淮</x:v>
      </x:c>
      <x:c r="C96" s="8" t="n">
        <x:v>0</x:v>
      </x:c>
      <x:c r="D96" s="8" t="n">
        <x:v>0</x:v>
      </x:c>
      <x:c r="E96" s="8" t="n">
        <x:f>D96-C96</x:f>
        <x:v>0</x:v>
      </x:c>
      <x:c r="F96" s="9" t="str">
        <x:f>IF(C96=0,"n.a.",E96/C96)</x:f>
        <x:v>n.a.</x:v>
      </x:c>
      <x:c r="G96" s="9" t="n">
        <x:f>D96/SUM($D$6:$D$127)</x:f>
        <x:v>0</x:v>
      </x:c>
      <x:c r="H96" s="2" t="n">
        <x:v>0</x:v>
      </x:c>
      <x:c r="I96" s="10"/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2"/>
      <x:c r="O96" s="2"/>
      <x:c r="P96" s="10"/>
      <x:c r="Q96" s="2"/>
      <x:c r="R96" s="2"/>
      <x:c r="S96" s="2"/>
      <x:c r="T96" s="9" t="n">
        <x:f>H96/12</x:f>
        <x:v>0</x:v>
      </x:c>
    </x:row>
    <x:row r="97" ht="22" customHeight="1">
      <x:c r="A97" s="2" t="str">
        <x:v>比亚迪M6</x:v>
      </x:c>
      <x:c r="B97" s="2" t="str">
        <x:v>比亚迪</x:v>
      </x:c>
      <x:c r="C97" s="8" t="n">
        <x:v>0</x:v>
      </x:c>
      <x:c r="D97" s="8" t="n">
        <x:v>0</x:v>
      </x:c>
      <x:c r="E97" s="8" t="n">
        <x:f>D97-C97</x:f>
        <x:v>0</x:v>
      </x:c>
      <x:c r="F97" s="9" t="str">
        <x:f>IF(C97=0,"n.a.",E97/C97)</x:f>
        <x:v>n.a.</x:v>
      </x:c>
      <x:c r="G97" s="9" t="n">
        <x:f>D97/SUM($D$6:$D$127)</x:f>
        <x:v>0</x:v>
      </x:c>
      <x:c r="H97" s="2" t="n">
        <x:v>0</x:v>
      </x:c>
      <x:c r="I97" s="10"/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2"/>
      <x:c r="O97" s="2"/>
      <x:c r="P97" s="10"/>
      <x:c r="Q97" s="2"/>
      <x:c r="R97" s="2"/>
      <x:c r="S97" s="2"/>
      <x:c r="T97" s="9" t="n">
        <x:f>H97/12</x:f>
        <x:v>0</x:v>
      </x:c>
    </x:row>
    <x:row r="98" ht="22" customHeight="1">
      <x:c r="A98" s="2" t="str">
        <x:v>日产NV200</x:v>
      </x:c>
      <x:c r="B98" s="2" t="str">
        <x:v>日产</x:v>
      </x:c>
      <x:c r="C98" s="8" t="n">
        <x:v>0</x:v>
      </x:c>
      <x:c r="D98" s="8" t="n">
        <x:v>0</x:v>
      </x:c>
      <x:c r="E98" s="8" t="n">
        <x:f>D98-C98</x:f>
        <x:v>0</x:v>
      </x:c>
      <x:c r="F98" s="9" t="str">
        <x:f>IF(C98=0,"n.a.",E98/C98)</x:f>
        <x:v>n.a.</x:v>
      </x:c>
      <x:c r="G98" s="9" t="n">
        <x:f>D98/SUM($D$6:$D$127)</x:f>
        <x:v>0</x:v>
      </x:c>
      <x:c r="H98" s="2" t="n">
        <x:v>0</x:v>
      </x:c>
      <x:c r="I98" s="10"/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2"/>
      <x:c r="O98" s="2"/>
      <x:c r="P98" s="10"/>
      <x:c r="Q98" s="2"/>
      <x:c r="R98" s="2"/>
      <x:c r="S98" s="2"/>
      <x:c r="T98" s="9" t="n">
        <x:f>H98/12</x:f>
        <x:v>0</x:v>
      </x:c>
    </x:row>
    <x:row r="99" ht="22" customHeight="1">
      <x:c r="A99" s="2" t="str">
        <x:v>风尚</x:v>
      </x:c>
      <x:c r="B99" s="2" t="str">
        <x:v>陆风</x:v>
      </x:c>
      <x:c r="C99" s="8" t="n">
        <x:v>0</x:v>
      </x:c>
      <x:c r="D99" s="8" t="n">
        <x:v>0</x:v>
      </x:c>
      <x:c r="E99" s="8" t="n">
        <x:f>D99-C99</x:f>
        <x:v>0</x:v>
      </x:c>
      <x:c r="F99" s="9" t="str">
        <x:f>IF(C99=0,"n.a.",E99/C99)</x:f>
        <x:v>n.a.</x:v>
      </x:c>
      <x:c r="G99" s="9" t="n">
        <x:f>D99/SUM($D$6:$D$127)</x:f>
        <x:v>0</x:v>
      </x:c>
      <x:c r="H99" s="2" t="n">
        <x:v>0</x:v>
      </x:c>
      <x:c r="I99" s="10"/>
      <x:c r="J99" s="8" t="n">
        <x:v>0</x:v>
      </x:c>
      <x:c r="K99" s="8" t="n">
        <x:v>0</x:v>
      </x:c>
      <x:c r="L99" s="8" t="n">
        <x:v>0</x:v>
      </x:c>
      <x:c r="M99" s="8" t="n">
        <x:v>0</x:v>
      </x:c>
      <x:c r="N99" s="2"/>
      <x:c r="O99" s="2"/>
      <x:c r="P99" s="10"/>
      <x:c r="Q99" s="2"/>
      <x:c r="R99" s="2"/>
      <x:c r="S99" s="2"/>
      <x:c r="T99" s="9" t="n">
        <x:f>H99/12</x:f>
        <x:v>0</x:v>
      </x:c>
    </x:row>
    <x:row r="100" ht="22" customHeight="1">
      <x:c r="A100" s="2" t="str">
        <x:v>森雅M80</x:v>
      </x:c>
      <x:c r="B100" s="2" t="str">
        <x:v>一汽</x:v>
      </x:c>
      <x:c r="C100" s="8" t="n">
        <x:v>0</x:v>
      </x:c>
      <x:c r="D100" s="8" t="n">
        <x:v>0</x:v>
      </x:c>
      <x:c r="E100" s="8" t="n">
        <x:f>D100-C100</x:f>
        <x:v>0</x:v>
      </x:c>
      <x:c r="F100" s="9" t="str">
        <x:f>IF(C100=0,"n.a.",E100/C100)</x:f>
        <x:v>n.a.</x:v>
      </x:c>
      <x:c r="G100" s="9" t="n">
        <x:f>D100/SUM($D$6:$D$127)</x:f>
        <x:v>0</x:v>
      </x:c>
      <x:c r="H100" s="2" t="n">
        <x:v>0</x:v>
      </x:c>
      <x:c r="I100" s="10"/>
      <x:c r="J100" s="8" t="n">
        <x:v>0</x:v>
      </x:c>
      <x:c r="K100" s="8" t="n">
        <x:v>0</x:v>
      </x:c>
      <x:c r="L100" s="8" t="n">
        <x:v>0</x:v>
      </x:c>
      <x:c r="M100" s="8" t="n">
        <x:v>0</x:v>
      </x:c>
      <x:c r="N100" s="2"/>
      <x:c r="O100" s="2"/>
      <x:c r="P100" s="10"/>
      <x:c r="Q100" s="2"/>
      <x:c r="R100" s="2"/>
      <x:c r="S100" s="2"/>
      <x:c r="T100" s="9" t="n">
        <x:f>H100/12</x:f>
        <x:v>0</x:v>
      </x:c>
    </x:row>
    <x:row r="101" ht="22" customHeight="1">
      <x:c r="A101" s="2" t="str">
        <x:v>瑞风M2</x:v>
      </x:c>
      <x:c r="B101" s="2" t="str">
        <x:v>江淮</x:v>
      </x:c>
      <x:c r="C101" s="8" t="n">
        <x:v>0</x:v>
      </x:c>
      <x:c r="D101" s="8" t="n">
        <x:v>0</x:v>
      </x:c>
      <x:c r="E101" s="8" t="n">
        <x:f>D101-C101</x:f>
        <x:v>0</x:v>
      </x:c>
      <x:c r="F101" s="9" t="str">
        <x:f>IF(C101=0,"n.a.",E101/C101)</x:f>
        <x:v>n.a.</x:v>
      </x:c>
      <x:c r="G101" s="9" t="n">
        <x:f>D101/SUM($D$6:$D$127)</x:f>
        <x:v>0</x:v>
      </x:c>
      <x:c r="H101" s="2" t="n">
        <x:v>0</x:v>
      </x:c>
      <x:c r="I101" s="10"/>
      <x:c r="J101" s="8" t="n">
        <x:v>0</x:v>
      </x:c>
      <x:c r="K101" s="8" t="n">
        <x:v>0</x:v>
      </x:c>
      <x:c r="L101" s="8" t="n">
        <x:v>0</x:v>
      </x:c>
      <x:c r="M101" s="8" t="n">
        <x:v>0</x:v>
      </x:c>
      <x:c r="N101" s="2"/>
      <x:c r="O101" s="2"/>
      <x:c r="P101" s="10"/>
      <x:c r="Q101" s="2"/>
      <x:c r="R101" s="2"/>
      <x:c r="S101" s="2"/>
      <x:c r="T101" s="9" t="n">
        <x:f>H101/12</x:f>
        <x:v>0</x:v>
      </x:c>
    </x:row>
    <x:row r="102" ht="22" customHeight="1">
      <x:c r="A102" s="2" t="str">
        <x:v>帅客</x:v>
      </x:c>
      <x:c r="B102" s="2" t="str">
        <x:v>东风</x:v>
      </x:c>
      <x:c r="C102" s="8" t="n">
        <x:v>0</x:v>
      </x:c>
      <x:c r="D102" s="8" t="n">
        <x:v>0</x:v>
      </x:c>
      <x:c r="E102" s="8" t="n">
        <x:f>D102-C102</x:f>
        <x:v>0</x:v>
      </x:c>
      <x:c r="F102" s="9" t="str">
        <x:f>IF(C102=0,"n.a.",E102/C102)</x:f>
        <x:v>n.a.</x:v>
      </x:c>
      <x:c r="G102" s="9" t="n">
        <x:f>D102/SUM($D$6:$D$127)</x:f>
        <x:v>0</x:v>
      </x:c>
      <x:c r="H102" s="2" t="n">
        <x:v>0</x:v>
      </x:c>
      <x:c r="I102" s="10"/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2"/>
      <x:c r="O102" s="2"/>
      <x:c r="P102" s="10"/>
      <x:c r="Q102" s="2"/>
      <x:c r="R102" s="2"/>
      <x:c r="S102" s="2"/>
      <x:c r="T102" s="9" t="n">
        <x:f>H102/12</x:f>
        <x:v>0</x:v>
      </x:c>
    </x:row>
    <x:row r="103" ht="22" customHeight="1">
      <x:c r="A103" s="2" t="str">
        <x:v>唯雅诺</x:v>
      </x:c>
      <x:c r="B103" s="2" t="str">
        <x:v>奔驰</x:v>
      </x:c>
      <x:c r="C103" s="8" t="n">
        <x:v>0</x:v>
      </x:c>
      <x:c r="D103" s="8" t="n">
        <x:v>0</x:v>
      </x:c>
      <x:c r="E103" s="8" t="n">
        <x:f>D103-C103</x:f>
        <x:v>0</x:v>
      </x:c>
      <x:c r="F103" s="9" t="str">
        <x:f>IF(C103=0,"n.a.",E103/C103)</x:f>
        <x:v>n.a.</x:v>
      </x:c>
      <x:c r="G103" s="9" t="n">
        <x:f>D103/SUM($D$6:$D$127)</x:f>
        <x:v>0</x:v>
      </x:c>
      <x:c r="H103" s="2" t="n">
        <x:v>0</x:v>
      </x:c>
      <x:c r="I103" s="10"/>
      <x:c r="J103" s="8" t="n">
        <x:v>0</x:v>
      </x:c>
      <x:c r="K103" s="8" t="n">
        <x:v>0</x:v>
      </x:c>
      <x:c r="L103" s="8" t="n">
        <x:v>0</x:v>
      </x:c>
      <x:c r="M103" s="8" t="n">
        <x:v>0</x:v>
      </x:c>
      <x:c r="N103" s="2"/>
      <x:c r="O103" s="2"/>
      <x:c r="P103" s="10"/>
      <x:c r="Q103" s="2"/>
      <x:c r="R103" s="2"/>
      <x:c r="S103" s="2"/>
      <x:c r="T103" s="9" t="n">
        <x:f>H103/12</x:f>
        <x:v>0</x:v>
      </x:c>
    </x:row>
    <x:row r="104" ht="22" customHeight="1">
      <x:c r="A104" s="2" t="str">
        <x:v>迷迪</x:v>
      </x:c>
      <x:c r="B104" s="2" t="str">
        <x:v>福田</x:v>
      </x:c>
      <x:c r="C104" s="8" t="n">
        <x:v>0</x:v>
      </x:c>
      <x:c r="D104" s="8" t="n">
        <x:v>0</x:v>
      </x:c>
      <x:c r="E104" s="8" t="n">
        <x:f>D104-C104</x:f>
        <x:v>0</x:v>
      </x:c>
      <x:c r="F104" s="9" t="str">
        <x:f>IF(C104=0,"n.a.",E104/C104)</x:f>
        <x:v>n.a.</x:v>
      </x:c>
      <x:c r="G104" s="9" t="n">
        <x:f>D104/SUM($D$6:$D$127)</x:f>
        <x:v>0</x:v>
      </x:c>
      <x:c r="H104" s="2" t="n">
        <x:v>0</x:v>
      </x:c>
      <x:c r="I104" s="10"/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2"/>
      <x:c r="O104" s="2"/>
      <x:c r="P104" s="10"/>
      <x:c r="Q104" s="2"/>
      <x:c r="R104" s="2"/>
      <x:c r="S104" s="2"/>
      <x:c r="T104" s="9" t="n">
        <x:f>H104/12</x:f>
        <x:v>0</x:v>
      </x:c>
    </x:row>
    <x:row r="105" ht="22" customHeight="1">
      <x:c r="A105" s="2" t="str">
        <x:v>奇瑞V5</x:v>
      </x:c>
      <x:c r="B105" s="2" t="str">
        <x:v>奇瑞</x:v>
      </x:c>
      <x:c r="C105" s="8" t="n">
        <x:v>0</x:v>
      </x:c>
      <x:c r="D105" s="8" t="n">
        <x:v>0</x:v>
      </x:c>
      <x:c r="E105" s="8" t="n">
        <x:f>D105-C105</x:f>
        <x:v>0</x:v>
      </x:c>
      <x:c r="F105" s="9" t="str">
        <x:f>IF(C105=0,"n.a.",E105/C105)</x:f>
        <x:v>n.a.</x:v>
      </x:c>
      <x:c r="G105" s="9" t="n">
        <x:f>D105/SUM($D$6:$D$127)</x:f>
        <x:v>0</x:v>
      </x:c>
      <x:c r="H105" s="2" t="n">
        <x:v>0</x:v>
      </x:c>
      <x:c r="I105" s="10"/>
      <x:c r="J105" s="8" t="n">
        <x:v>0</x:v>
      </x:c>
      <x:c r="K105" s="8" t="n">
        <x:v>0</x:v>
      </x:c>
      <x:c r="L105" s="8" t="n">
        <x:v>0</x:v>
      </x:c>
      <x:c r="M105" s="8" t="n">
        <x:v>0</x:v>
      </x:c>
      <x:c r="N105" s="2"/>
      <x:c r="O105" s="2"/>
      <x:c r="P105" s="10"/>
      <x:c r="Q105" s="2"/>
      <x:c r="R105" s="2"/>
      <x:c r="S105" s="2"/>
      <x:c r="T105" s="9" t="n">
        <x:f>H105/12</x:f>
        <x:v>0</x:v>
      </x:c>
    </x:row>
    <x:row r="106" ht="22" customHeight="1">
      <x:c r="A106" s="2" t="str">
        <x:v>御轩</x:v>
      </x:c>
      <x:c r="B106" s="2" t="str">
        <x:v>东风</x:v>
      </x:c>
      <x:c r="C106" s="8" t="n">
        <x:v>0</x:v>
      </x:c>
      <x:c r="D106" s="8" t="n">
        <x:v>0</x:v>
      </x:c>
      <x:c r="E106" s="8" t="n">
        <x:f>D106-C106</x:f>
        <x:v>0</x:v>
      </x:c>
      <x:c r="F106" s="9" t="str">
        <x:f>IF(C106=0,"n.a.",E106/C106)</x:f>
        <x:v>n.a.</x:v>
      </x:c>
      <x:c r="G106" s="9" t="n">
        <x:f>D106/SUM($D$6:$D$127)</x:f>
        <x:v>0</x:v>
      </x:c>
      <x:c r="H106" s="2" t="n">
        <x:v>0</x:v>
      </x:c>
      <x:c r="I106" s="10"/>
      <x:c r="J106" s="8" t="n">
        <x:v>0</x:v>
      </x:c>
      <x:c r="K106" s="8" t="n">
        <x:v>0</x:v>
      </x:c>
      <x:c r="L106" s="8" t="n">
        <x:v>0</x:v>
      </x:c>
      <x:c r="M106" s="8" t="n">
        <x:v>0</x:v>
      </x:c>
      <x:c r="N106" s="2"/>
      <x:c r="O106" s="2"/>
      <x:c r="P106" s="10"/>
      <x:c r="Q106" s="2"/>
      <x:c r="R106" s="2"/>
      <x:c r="S106" s="2"/>
      <x:c r="T106" s="9" t="n">
        <x:f>H106/12</x:f>
        <x:v>0</x:v>
      </x:c>
    </x:row>
    <x:row r="107" ht="22" customHeight="1">
      <x:c r="A107" s="2" t="str">
        <x:v>君阁</x:v>
      </x:c>
      <x:c r="B107" s="2" t="str">
        <x:v>三菱</x:v>
      </x:c>
      <x:c r="C107" s="8" t="n">
        <x:v>0</x:v>
      </x:c>
      <x:c r="D107" s="8" t="n">
        <x:v>0</x:v>
      </x:c>
      <x:c r="E107" s="8" t="n">
        <x:f>D107-C107</x:f>
        <x:v>0</x:v>
      </x:c>
      <x:c r="F107" s="9" t="str">
        <x:f>IF(C107=0,"n.a.",E107/C107)</x:f>
        <x:v>n.a.</x:v>
      </x:c>
      <x:c r="G107" s="9" t="n">
        <x:f>D107/SUM($D$6:$D$127)</x:f>
        <x:v>0</x:v>
      </x:c>
      <x:c r="H107" s="2" t="n">
        <x:v>0</x:v>
      </x:c>
      <x:c r="I107" s="10"/>
      <x:c r="J107" s="8" t="n">
        <x:v>0</x:v>
      </x:c>
      <x:c r="K107" s="8" t="n">
        <x:v>0</x:v>
      </x:c>
      <x:c r="L107" s="8" t="n">
        <x:v>0</x:v>
      </x:c>
      <x:c r="M107" s="8" t="n">
        <x:v>0</x:v>
      </x:c>
      <x:c r="N107" s="2"/>
      <x:c r="O107" s="2"/>
      <x:c r="P107" s="10"/>
      <x:c r="Q107" s="2"/>
      <x:c r="R107" s="2"/>
      <x:c r="S107" s="2"/>
      <x:c r="T107" s="9" t="n">
        <x:f>H107/12</x:f>
        <x:v>0</x:v>
      </x:c>
    </x:row>
    <x:row r="108" ht="22" customHeight="1">
      <x:c r="A108" s="2" t="str">
        <x:v>普力马</x:v>
      </x:c>
      <x:c r="B108" s="2" t="str">
        <x:v>海马</x:v>
      </x:c>
      <x:c r="C108" s="8" t="n">
        <x:v>0</x:v>
      </x:c>
      <x:c r="D108" s="8" t="n">
        <x:v>0</x:v>
      </x:c>
      <x:c r="E108" s="8" t="n">
        <x:f>D108-C108</x:f>
        <x:v>0</x:v>
      </x:c>
      <x:c r="F108" s="9" t="str">
        <x:f>IF(C108=0,"n.a.",E108/C108)</x:f>
        <x:v>n.a.</x:v>
      </x:c>
      <x:c r="G108" s="9" t="n">
        <x:f>D108/SUM($D$6:$D$127)</x:f>
        <x:v>0</x:v>
      </x:c>
      <x:c r="H108" s="2" t="n">
        <x:v>0</x:v>
      </x:c>
      <x:c r="I108" s="10"/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2"/>
      <x:c r="O108" s="2"/>
      <x:c r="P108" s="10"/>
      <x:c r="Q108" s="2"/>
      <x:c r="R108" s="2"/>
      <x:c r="S108" s="2"/>
      <x:c r="T108" s="9" t="n">
        <x:f>H108/12</x:f>
        <x:v>0</x:v>
      </x:c>
    </x:row>
    <x:row r="109" ht="22" customHeight="1">
      <x:c r="A109" s="2" t="str">
        <x:v>风光360</x:v>
      </x:c>
      <x:c r="B109" s="2" t="str">
        <x:v>东风风光</x:v>
      </x:c>
      <x:c r="C109" s="8" t="n">
        <x:v>0</x:v>
      </x:c>
      <x:c r="D109" s="8" t="n">
        <x:v>0</x:v>
      </x:c>
      <x:c r="E109" s="8" t="n">
        <x:f>D109-C109</x:f>
        <x:v>0</x:v>
      </x:c>
      <x:c r="F109" s="9" t="str">
        <x:f>IF(C109=0,"n.a.",E109/C109)</x:f>
        <x:v>n.a.</x:v>
      </x:c>
      <x:c r="G109" s="9" t="n">
        <x:f>D109/SUM($D$6:$D$127)</x:f>
        <x:v>0</x:v>
      </x:c>
      <x:c r="H109" s="2" t="n">
        <x:v>0</x:v>
      </x:c>
      <x:c r="I109" s="10"/>
      <x:c r="J109" s="8" t="n">
        <x:v>0</x:v>
      </x:c>
      <x:c r="K109" s="8" t="n">
        <x:v>0</x:v>
      </x:c>
      <x:c r="L109" s="8" t="n">
        <x:v>0</x:v>
      </x:c>
      <x:c r="M109" s="8" t="n">
        <x:v>0</x:v>
      </x:c>
      <x:c r="N109" s="2"/>
      <x:c r="O109" s="2"/>
      <x:c r="P109" s="10"/>
      <x:c r="Q109" s="2"/>
      <x:c r="R109" s="2"/>
      <x:c r="S109" s="2"/>
      <x:c r="T109" s="9" t="n">
        <x:f>H109/12</x:f>
        <x:v>0</x:v>
      </x:c>
    </x:row>
    <x:row r="110" ht="22" customHeight="1">
      <x:c r="A110" s="2" t="str">
        <x:v>斯派卡</x:v>
      </x:c>
      <x:c r="B110" s="2" t="str">
        <x:v>野马汽车</x:v>
      </x:c>
      <x:c r="C110" s="8" t="n">
        <x:v>0</x:v>
      </x:c>
      <x:c r="D110" s="8" t="n">
        <x:v>0</x:v>
      </x:c>
      <x:c r="E110" s="8" t="n">
        <x:f>D110-C110</x:f>
        <x:v>0</x:v>
      </x:c>
      <x:c r="F110" s="9" t="str">
        <x:f>IF(C110=0,"n.a.",E110/C110)</x:f>
        <x:v>n.a.</x:v>
      </x:c>
      <x:c r="G110" s="9" t="n">
        <x:f>D110/SUM($D$6:$D$127)</x:f>
        <x:v>0</x:v>
      </x:c>
      <x:c r="H110" s="2" t="n">
        <x:v>0</x:v>
      </x:c>
      <x:c r="I110" s="10"/>
      <x:c r="J110" s="8" t="n">
        <x:v>0</x:v>
      </x:c>
      <x:c r="K110" s="8" t="n">
        <x:v>0</x:v>
      </x:c>
      <x:c r="L110" s="8" t="n">
        <x:v>0</x:v>
      </x:c>
      <x:c r="M110" s="8" t="n">
        <x:v>0</x:v>
      </x:c>
      <x:c r="N110" s="2"/>
      <x:c r="O110" s="2"/>
      <x:c r="P110" s="10"/>
      <x:c r="Q110" s="2"/>
      <x:c r="R110" s="2"/>
      <x:c r="S110" s="2"/>
      <x:c r="T110" s="9" t="n">
        <x:f>H110/12</x:f>
        <x:v>0</x:v>
      </x:c>
    </x:row>
    <x:row r="111" ht="22" customHeight="1">
      <x:c r="A111" s="2" t="str">
        <x:v>五菱730</x:v>
      </x:c>
      <x:c r="B111" s="2" t="str">
        <x:v>五菱</x:v>
      </x:c>
      <x:c r="C111" s="8" t="n">
        <x:v>0</x:v>
      </x:c>
      <x:c r="D111" s="8" t="n">
        <x:v>0</x:v>
      </x:c>
      <x:c r="E111" s="8" t="n">
        <x:f>D111-C111</x:f>
        <x:v>0</x:v>
      </x:c>
      <x:c r="F111" s="9" t="str">
        <x:f>IF(C111=0,"n.a.",E111/C111)</x:f>
        <x:v>n.a.</x:v>
      </x:c>
      <x:c r="G111" s="9" t="n">
        <x:f>D111/SUM($D$6:$D$127)</x:f>
        <x:v>0</x:v>
      </x:c>
      <x:c r="H111" s="2" t="n">
        <x:v>0</x:v>
      </x:c>
      <x:c r="I111" s="10"/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2"/>
      <x:c r="O111" s="2"/>
      <x:c r="P111" s="10"/>
      <x:c r="Q111" s="2"/>
      <x:c r="R111" s="2"/>
      <x:c r="S111" s="2"/>
      <x:c r="T111" s="9" t="n">
        <x:f>H111/12</x:f>
        <x:v>0</x:v>
      </x:c>
    </x:row>
    <x:row r="112" ht="22" customHeight="1">
      <x:c r="A112" s="2" t="str">
        <x:v>力帆枫叶80V</x:v>
      </x:c>
      <x:c r="B112" s="2" t="str">
        <x:v>力帆</x:v>
      </x:c>
      <x:c r="C112" s="8" t="n">
        <x:v>0</x:v>
      </x:c>
      <x:c r="D112" s="8" t="n">
        <x:v>0</x:v>
      </x:c>
      <x:c r="E112" s="8" t="n">
        <x:f>D112-C112</x:f>
        <x:v>0</x:v>
      </x:c>
      <x:c r="F112" s="9" t="str">
        <x:f>IF(C112=0,"n.a.",E112/C112)</x:f>
        <x:v>n.a.</x:v>
      </x:c>
      <x:c r="G112" s="9" t="n">
        <x:f>D112/SUM($D$6:$D$127)</x:f>
        <x:v>0</x:v>
      </x:c>
      <x:c r="H112" s="2" t="n">
        <x:v>0</x:v>
      </x:c>
      <x:c r="I112" s="10"/>
      <x:c r="J112" s="8" t="n">
        <x:v>0</x:v>
      </x:c>
      <x:c r="K112" s="8" t="n">
        <x:v>0</x:v>
      </x:c>
      <x:c r="L112" s="8" t="n">
        <x:v>0</x:v>
      </x:c>
      <x:c r="M112" s="8" t="n">
        <x:v>0</x:v>
      </x:c>
      <x:c r="N112" s="2"/>
      <x:c r="O112" s="2"/>
      <x:c r="P112" s="10"/>
      <x:c r="Q112" s="2"/>
      <x:c r="R112" s="2"/>
      <x:c r="S112" s="2"/>
      <x:c r="T112" s="9" t="n">
        <x:f>H112/12</x:f>
        <x:v>0</x:v>
      </x:c>
    </x:row>
    <x:row r="113" ht="22" customHeight="1">
      <x:c r="A113" s="2" t="str">
        <x:v>福美来F7</x:v>
      </x:c>
      <x:c r="B113" s="2" t="str">
        <x:v>海马</x:v>
      </x:c>
      <x:c r="C113" s="8" t="n">
        <x:v>0</x:v>
      </x:c>
      <x:c r="D113" s="8" t="n">
        <x:v>0</x:v>
      </x:c>
      <x:c r="E113" s="8" t="n">
        <x:f>D113-C113</x:f>
        <x:v>0</x:v>
      </x:c>
      <x:c r="F113" s="9" t="str">
        <x:f>IF(C113=0,"n.a.",E113/C113)</x:f>
        <x:v>n.a.</x:v>
      </x:c>
      <x:c r="G113" s="9" t="n">
        <x:f>D113/SUM($D$6:$D$127)</x:f>
        <x:v>0</x:v>
      </x:c>
      <x:c r="H113" s="2" t="n">
        <x:v>0</x:v>
      </x:c>
      <x:c r="I113" s="10"/>
      <x:c r="J113" s="8" t="n">
        <x:v>0</x:v>
      </x:c>
      <x:c r="K113" s="8" t="n">
        <x:v>0</x:v>
      </x:c>
      <x:c r="L113" s="8" t="n">
        <x:v>0</x:v>
      </x:c>
      <x:c r="M113" s="8" t="n">
        <x:v>0</x:v>
      </x:c>
      <x:c r="N113" s="2"/>
      <x:c r="O113" s="2"/>
      <x:c r="P113" s="10"/>
      <x:c r="Q113" s="2"/>
      <x:c r="R113" s="2"/>
      <x:c r="S113" s="2"/>
      <x:c r="T113" s="9" t="n">
        <x:f>H113/12</x:f>
        <x:v>0</x:v>
      </x:c>
    </x:row>
    <x:row r="114" ht="22" customHeight="1">
      <x:c r="A114" s="2" t="str">
        <x:v>英致737EV</x:v>
      </x:c>
      <x:c r="B114" s="2" t="str">
        <x:v>英致</x:v>
      </x:c>
      <x:c r="C114" s="8" t="n">
        <x:v>0</x:v>
      </x:c>
      <x:c r="D114" s="8" t="n">
        <x:v>0</x:v>
      </x:c>
      <x:c r="E114" s="8" t="n">
        <x:f>D114-C114</x:f>
        <x:v>0</x:v>
      </x:c>
      <x:c r="F114" s="9" t="str">
        <x:f>IF(C114=0,"n.a.",E114/C114)</x:f>
        <x:v>n.a.</x:v>
      </x:c>
      <x:c r="G114" s="9" t="n">
        <x:f>D114/SUM($D$6:$D$127)</x:f>
        <x:v>0</x:v>
      </x:c>
      <x:c r="H114" s="2" t="n">
        <x:v>0</x:v>
      </x:c>
      <x:c r="I114" s="10"/>
      <x:c r="J114" s="8" t="n">
        <x:v>0</x:v>
      </x:c>
      <x:c r="K114" s="8" t="n">
        <x:v>0</x:v>
      </x:c>
      <x:c r="L114" s="8" t="n">
        <x:v>0</x:v>
      </x:c>
      <x:c r="M114" s="8" t="n">
        <x:v>0</x:v>
      </x:c>
      <x:c r="N114" s="2"/>
      <x:c r="O114" s="2"/>
      <x:c r="P114" s="10"/>
      <x:c r="Q114" s="2"/>
      <x:c r="R114" s="2"/>
      <x:c r="S114" s="2"/>
      <x:c r="T114" s="9" t="n">
        <x:f>H114/12</x:f>
        <x:v>0</x:v>
      </x:c>
    </x:row>
    <x:row r="115" ht="22" customHeight="1">
      <x:c r="A115" s="2" t="str">
        <x:v>金杯F50</x:v>
      </x:c>
      <x:c r="B115" s="2" t="str">
        <x:v>金杯</x:v>
      </x:c>
      <x:c r="C115" s="8" t="n">
        <x:v>0</x:v>
      </x:c>
      <x:c r="D115" s="8" t="n">
        <x:v>0</x:v>
      </x:c>
      <x:c r="E115" s="8" t="n">
        <x:f>D115-C115</x:f>
        <x:v>0</x:v>
      </x:c>
      <x:c r="F115" s="9" t="str">
        <x:f>IF(C115=0,"n.a.",E115/C115)</x:f>
        <x:v>n.a.</x:v>
      </x:c>
      <x:c r="G115" s="9" t="n">
        <x:f>D115/SUM($D$6:$D$127)</x:f>
        <x:v>0</x:v>
      </x:c>
      <x:c r="H115" s="2" t="n">
        <x:v>0</x:v>
      </x:c>
      <x:c r="I115" s="10"/>
      <x:c r="J115" s="8" t="n">
        <x:v>0</x:v>
      </x:c>
      <x:c r="K115" s="8" t="n">
        <x:v>0</x:v>
      </x:c>
      <x:c r="L115" s="8" t="n">
        <x:v>0</x:v>
      </x:c>
      <x:c r="M115" s="8" t="n">
        <x:v>0</x:v>
      </x:c>
      <x:c r="N115" s="2"/>
      <x:c r="O115" s="2"/>
      <x:c r="P115" s="10"/>
      <x:c r="Q115" s="2"/>
      <x:c r="R115" s="2"/>
      <x:c r="S115" s="2"/>
      <x:c r="T115" s="9" t="n">
        <x:f>H115/12</x:f>
        <x:v>0</x:v>
      </x:c>
    </x:row>
    <x:row r="116" ht="22" customHeight="1">
      <x:c r="A116" s="2" t="str">
        <x:v>长安欧尚A800</x:v>
      </x:c>
      <x:c r="B116" s="2" t="str">
        <x:v>长安欧尚</x:v>
      </x:c>
      <x:c r="C116" s="8" t="n">
        <x:v>0</x:v>
      </x:c>
      <x:c r="D116" s="8" t="n">
        <x:v>0</x:v>
      </x:c>
      <x:c r="E116" s="8" t="n">
        <x:f>D116-C116</x:f>
        <x:v>0</x:v>
      </x:c>
      <x:c r="F116" s="9" t="str">
        <x:f>IF(C116=0,"n.a.",E116/C116)</x:f>
        <x:v>n.a.</x:v>
      </x:c>
      <x:c r="G116" s="9" t="n">
        <x:f>D116/SUM($D$6:$D$127)</x:f>
        <x:v>0</x:v>
      </x:c>
      <x:c r="H116" s="2" t="n">
        <x:v>0</x:v>
      </x:c>
      <x:c r="I116" s="10"/>
      <x:c r="J116" s="8" t="n">
        <x:v>0</x:v>
      </x:c>
      <x:c r="K116" s="8" t="n">
        <x:v>0</x:v>
      </x:c>
      <x:c r="L116" s="8" t="n">
        <x:v>0</x:v>
      </x:c>
      <x:c r="M116" s="8" t="n">
        <x:v>0</x:v>
      </x:c>
      <x:c r="N116" s="2"/>
      <x:c r="O116" s="2"/>
      <x:c r="P116" s="10"/>
      <x:c r="Q116" s="2"/>
      <x:c r="R116" s="2"/>
      <x:c r="S116" s="2"/>
      <x:c r="T116" s="9" t="n">
        <x:f>H116/12</x:f>
        <x:v>0</x:v>
      </x:c>
    </x:row>
    <x:row r="117" ht="22" customHeight="1">
      <x:c r="A117" s="2" t="str">
        <x:v>宋MAX</x:v>
      </x:c>
      <x:c r="B117" s="2" t="str">
        <x:v>比亚迪</x:v>
      </x:c>
      <x:c r="C117" s="8" t="n">
        <x:v>0</x:v>
      </x:c>
      <x:c r="D117" s="8" t="n">
        <x:v>0</x:v>
      </x:c>
      <x:c r="E117" s="8" t="n">
        <x:f>D117-C117</x:f>
        <x:v>0</x:v>
      </x:c>
      <x:c r="F117" s="9" t="str">
        <x:f>IF(C117=0,"n.a.",E117/C117)</x:f>
        <x:v>n.a.</x:v>
      </x:c>
      <x:c r="G117" s="9" t="n">
        <x:f>D117/SUM($D$6:$D$127)</x:f>
        <x:v>0</x:v>
      </x:c>
      <x:c r="H117" s="2" t="n">
        <x:v>0</x:v>
      </x:c>
      <x:c r="I117" s="10"/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2"/>
      <x:c r="O117" s="2"/>
      <x:c r="P117" s="10"/>
      <x:c r="Q117" s="2"/>
      <x:c r="R117" s="2"/>
      <x:c r="S117" s="2"/>
      <x:c r="T117" s="9" t="n">
        <x:f>H117/12</x:f>
        <x:v>0</x:v>
      </x:c>
    </x:row>
    <x:row r="118" ht="22" customHeight="1">
      <x:c r="A118" s="2" t="str">
        <x:v>北汽幻速H5</x:v>
      </x:c>
      <x:c r="B118" s="2" t="str">
        <x:v>北汽幻速</x:v>
      </x:c>
      <x:c r="C118" s="8" t="n">
        <x:v>0</x:v>
      </x:c>
      <x:c r="D118" s="8" t="n">
        <x:v>0</x:v>
      </x:c>
      <x:c r="E118" s="8" t="n">
        <x:f>D118-C118</x:f>
        <x:v>0</x:v>
      </x:c>
      <x:c r="F118" s="9" t="str">
        <x:f>IF(C118=0,"n.a.",E118/C118)</x:f>
        <x:v>n.a.</x:v>
      </x:c>
      <x:c r="G118" s="9" t="n">
        <x:f>D118/SUM($D$6:$D$127)</x:f>
        <x:v>0</x:v>
      </x:c>
      <x:c r="H118" s="2" t="n">
        <x:v>0</x:v>
      </x:c>
      <x:c r="I118" s="10"/>
      <x:c r="J118" s="8" t="n">
        <x:v>0</x:v>
      </x:c>
      <x:c r="K118" s="8" t="n">
        <x:v>0</x:v>
      </x:c>
      <x:c r="L118" s="8" t="n">
        <x:v>0</x:v>
      </x:c>
      <x:c r="M118" s="8" t="n">
        <x:v>0</x:v>
      </x:c>
      <x:c r="N118" s="2"/>
      <x:c r="O118" s="2"/>
      <x:c r="P118" s="10"/>
      <x:c r="Q118" s="2"/>
      <x:c r="R118" s="2"/>
      <x:c r="S118" s="2"/>
      <x:c r="T118" s="9" t="n">
        <x:f>H118/12</x:f>
        <x:v>0</x:v>
      </x:c>
    </x:row>
    <x:row r="119" ht="22" customHeight="1">
      <x:c r="A119" s="2" t="str">
        <x:v>伽途im</x:v>
      </x:c>
      <x:c r="B119" s="2" t="str">
        <x:v>福田</x:v>
      </x:c>
      <x:c r="C119" s="8" t="n">
        <x:v>0</x:v>
      </x:c>
      <x:c r="D119" s="8" t="n">
        <x:v>0</x:v>
      </x:c>
      <x:c r="E119" s="8" t="n">
        <x:f>D119-C119</x:f>
        <x:v>0</x:v>
      </x:c>
      <x:c r="F119" s="9" t="str">
        <x:f>IF(C119=0,"n.a.",E119/C119)</x:f>
        <x:v>n.a.</x:v>
      </x:c>
      <x:c r="G119" s="9" t="n">
        <x:f>D119/SUM($D$6:$D$127)</x:f>
        <x:v>0</x:v>
      </x:c>
      <x:c r="H119" s="2" t="n">
        <x:v>0</x:v>
      </x:c>
      <x:c r="I119" s="10"/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2"/>
      <x:c r="O119" s="2"/>
      <x:c r="P119" s="10"/>
      <x:c r="Q119" s="2"/>
      <x:c r="R119" s="2"/>
      <x:c r="S119" s="2"/>
      <x:c r="T119" s="9" t="n">
        <x:f>H119/12</x:f>
        <x:v>0</x:v>
      </x:c>
    </x:row>
    <x:row r="120" ht="22" customHeight="1">
      <x:c r="A120" s="2" t="str">
        <x:v>北汽威旺M60</x:v>
      </x:c>
      <x:c r="B120" s="2" t="str">
        <x:v>北汽威旺</x:v>
      </x:c>
      <x:c r="C120" s="8" t="n">
        <x:v>0</x:v>
      </x:c>
      <x:c r="D120" s="8" t="n">
        <x:v>0</x:v>
      </x:c>
      <x:c r="E120" s="8" t="n">
        <x:f>D120-C120</x:f>
        <x:v>0</x:v>
      </x:c>
      <x:c r="F120" s="9" t="str">
        <x:f>IF(C120=0,"n.a.",E120/C120)</x:f>
        <x:v>n.a.</x:v>
      </x:c>
      <x:c r="G120" s="9" t="n">
        <x:f>D120/SUM($D$6:$D$127)</x:f>
        <x:v>0</x:v>
      </x:c>
      <x:c r="H120" s="2" t="n">
        <x:v>0</x:v>
      </x:c>
      <x:c r="I120" s="10"/>
      <x:c r="J120" s="8" t="n">
        <x:v>0</x:v>
      </x:c>
      <x:c r="K120" s="8" t="n">
        <x:v>0</x:v>
      </x:c>
      <x:c r="L120" s="8" t="n">
        <x:v>0</x:v>
      </x:c>
      <x:c r="M120" s="8" t="n">
        <x:v>0</x:v>
      </x:c>
      <x:c r="N120" s="2"/>
      <x:c r="O120" s="2"/>
      <x:c r="P120" s="10"/>
      <x:c r="Q120" s="2"/>
      <x:c r="R120" s="2"/>
      <x:c r="S120" s="2"/>
      <x:c r="T120" s="9" t="n">
        <x:f>H120/12</x:f>
        <x:v>0</x:v>
      </x:c>
    </x:row>
    <x:row r="121" ht="22" customHeight="1">
      <x:c r="A121" s="2" t="str">
        <x:v>欧尚长行</x:v>
      </x:c>
      <x:c r="B121" s="2" t="str">
        <x:v>长安凯程</x:v>
      </x:c>
      <x:c r="C121" s="8" t="n">
        <x:v>0</x:v>
      </x:c>
      <x:c r="D121" s="8" t="n">
        <x:v>0</x:v>
      </x:c>
      <x:c r="E121" s="8" t="n">
        <x:f>D121-C121</x:f>
        <x:v>0</x:v>
      </x:c>
      <x:c r="F121" s="9" t="str">
        <x:f>IF(C121=0,"n.a.",E121/C121)</x:f>
        <x:v>n.a.</x:v>
      </x:c>
      <x:c r="G121" s="9" t="n">
        <x:f>D121/SUM($D$6:$D$127)</x:f>
        <x:v>0</x:v>
      </x:c>
      <x:c r="H121" s="2" t="n">
        <x:v>0</x:v>
      </x:c>
      <x:c r="I121" s="10"/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2"/>
      <x:c r="O121" s="2"/>
      <x:c r="P121" s="10"/>
      <x:c r="Q121" s="2"/>
      <x:c r="R121" s="2"/>
      <x:c r="S121" s="2"/>
      <x:c r="T121" s="9" t="n">
        <x:f>H121/12</x:f>
        <x:v>0</x:v>
      </x:c>
    </x:row>
    <x:row r="122" ht="22" customHeight="1">
      <x:c r="A122" s="2" t="str">
        <x:v>斯派卡新能源</x:v>
      </x:c>
      <x:c r="B122" s="2" t="str">
        <x:v>野马汽车</x:v>
      </x:c>
      <x:c r="C122" s="8" t="n">
        <x:v>0</x:v>
      </x:c>
      <x:c r="D122" s="8" t="n">
        <x:v>0</x:v>
      </x:c>
      <x:c r="E122" s="8" t="n">
        <x:f>D122-C122</x:f>
        <x:v>0</x:v>
      </x:c>
      <x:c r="F122" s="9" t="str">
        <x:f>IF(C122=0,"n.a.",E122/C122)</x:f>
        <x:v>n.a.</x:v>
      </x:c>
      <x:c r="G122" s="9" t="n">
        <x:f>D122/SUM($D$6:$D$127)</x:f>
        <x:v>0</x:v>
      </x:c>
      <x:c r="H122" s="2" t="n">
        <x:v>0</x:v>
      </x:c>
      <x:c r="I122" s="10"/>
      <x:c r="J122" s="8" t="n">
        <x:v>0</x:v>
      </x:c>
      <x:c r="K122" s="8" t="n">
        <x:v>0</x:v>
      </x:c>
      <x:c r="L122" s="8" t="n">
        <x:v>0</x:v>
      </x:c>
      <x:c r="M122" s="8" t="n">
        <x:v>0</x:v>
      </x:c>
      <x:c r="N122" s="2"/>
      <x:c r="O122" s="2"/>
      <x:c r="P122" s="10"/>
      <x:c r="Q122" s="2"/>
      <x:c r="R122" s="2"/>
      <x:c r="S122" s="2"/>
      <x:c r="T122" s="9" t="n">
        <x:f>H122/12</x:f>
        <x:v>0</x:v>
      </x:c>
    </x:row>
    <x:row r="123" ht="22" customHeight="1">
      <x:c r="A123" s="2" t="str">
        <x:v>汉腾V7</x:v>
      </x:c>
      <x:c r="B123" s="2" t="str">
        <x:v>汉腾</x:v>
      </x:c>
      <x:c r="C123" s="8" t="n">
        <x:v>0</x:v>
      </x:c>
      <x:c r="D123" s="8" t="n">
        <x:v>0</x:v>
      </x:c>
      <x:c r="E123" s="8" t="n">
        <x:f>D123-C123</x:f>
        <x:v>0</x:v>
      </x:c>
      <x:c r="F123" s="9" t="str">
        <x:f>IF(C123=0,"n.a.",E123/C123)</x:f>
        <x:v>n.a.</x:v>
      </x:c>
      <x:c r="G123" s="9" t="n">
        <x:f>D123/SUM($D$6:$D$127)</x:f>
        <x:v>0</x:v>
      </x:c>
      <x:c r="H123" s="2" t="n">
        <x:v>0</x:v>
      </x:c>
      <x:c r="I123" s="10"/>
      <x:c r="J123" s="8" t="n">
        <x:v>0</x:v>
      </x:c>
      <x:c r="K123" s="8" t="n">
        <x:v>0</x:v>
      </x:c>
      <x:c r="L123" s="8" t="n">
        <x:v>0</x:v>
      </x:c>
      <x:c r="M123" s="8" t="n">
        <x:v>0</x:v>
      </x:c>
      <x:c r="N123" s="2"/>
      <x:c r="O123" s="2"/>
      <x:c r="P123" s="10"/>
      <x:c r="Q123" s="2"/>
      <x:c r="R123" s="2"/>
      <x:c r="S123" s="2"/>
      <x:c r="T123" s="9" t="n">
        <x:f>H123/12</x:f>
        <x:v>0</x:v>
      </x:c>
    </x:row>
    <x:row r="124" ht="22" customHeight="1">
      <x:c r="A124" s="2" t="str">
        <x:v>SWM斯威X2</x:v>
      </x:c>
      <x:c r="B124" s="2" t="str">
        <x:v>SWM斯威汽车</x:v>
      </x:c>
      <x:c r="C124" s="8" t="n">
        <x:v>0</x:v>
      </x:c>
      <x:c r="D124" s="8" t="n">
        <x:v>0</x:v>
      </x:c>
      <x:c r="E124" s="8" t="n">
        <x:f>D124-C124</x:f>
        <x:v>0</x:v>
      </x:c>
      <x:c r="F124" s="9" t="str">
        <x:f>IF(C124=0,"n.a.",E124/C124)</x:f>
        <x:v>n.a.</x:v>
      </x:c>
      <x:c r="G124" s="9" t="n">
        <x:f>D124/SUM($D$6:$D$127)</x:f>
        <x:v>0</x:v>
      </x:c>
      <x:c r="H124" s="2" t="n">
        <x:v>0</x:v>
      </x:c>
      <x:c r="I124" s="10"/>
      <x:c r="J124" s="8" t="n">
        <x:v>0</x:v>
      </x:c>
      <x:c r="K124" s="8" t="n">
        <x:v>0</x:v>
      </x:c>
      <x:c r="L124" s="8" t="n">
        <x:v>0</x:v>
      </x:c>
      <x:c r="M124" s="8" t="n">
        <x:v>0</x:v>
      </x:c>
      <x:c r="N124" s="2"/>
      <x:c r="O124" s="2"/>
      <x:c r="P124" s="10"/>
      <x:c r="Q124" s="2"/>
      <x:c r="R124" s="2"/>
      <x:c r="S124" s="2"/>
      <x:c r="T124" s="9" t="n">
        <x:f>H124/12</x:f>
        <x:v>0</x:v>
      </x:c>
    </x:row>
    <x:row r="125" ht="22" customHeight="1">
      <x:c r="A125" s="2" t="str">
        <x:v>极狐问道V9</x:v>
      </x:c>
      <x:c r="B125" s="2" t="str">
        <x:v>ARCFOX极狐</x:v>
      </x:c>
      <x:c r="C125" s="8" t="n">
        <x:v>0</x:v>
      </x:c>
      <x:c r="D125" s="8" t="n">
        <x:v>0</x:v>
      </x:c>
      <x:c r="E125" s="8" t="n">
        <x:f>D125-C125</x:f>
        <x:v>0</x:v>
      </x:c>
      <x:c r="F125" s="9" t="str">
        <x:f>IF(C125=0,"n.a.",E125/C125)</x:f>
        <x:v>n.a.</x:v>
      </x:c>
      <x:c r="G125" s="9" t="n">
        <x:f>D125/SUM($D$6:$D$127)</x:f>
        <x:v>0</x:v>
      </x:c>
      <x:c r="H125" s="2" t="n">
        <x:v>0</x:v>
      </x:c>
      <x:c r="I125" s="10"/>
      <x:c r="J125" s="8" t="n">
        <x:v>0</x:v>
      </x:c>
      <x:c r="K125" s="8" t="n">
        <x:v>0</x:v>
      </x:c>
      <x:c r="L125" s="8" t="n">
        <x:v>0</x:v>
      </x:c>
      <x:c r="M125" s="8" t="n">
        <x:v>0</x:v>
      </x:c>
      <x:c r="N125" s="2" t="n">
        <x:v>2026</x:v>
      </x:c>
      <x:c r="O125" s="2" t="str">
        <x:v>增程式</x:v>
      </x:c>
      <x:c r="P125" s="10" t="n">
        <x:v>21.48</x:v>
      </x:c>
      <x:c r="Q125" s="2" t="n">
        <x:v>3200</x:v>
      </x:c>
      <x:c r="R125" s="2"/>
      <x:c r="S125" s="2" t="str">
        <x:v>1250 Max</x:v>
      </x:c>
      <x:c r="T125" s="9" t="n">
        <x:f>H125/12</x:f>
        <x:v>0</x:v>
      </x:c>
    </x:row>
    <x:row r="126" ht="22" customHeight="1">
      <x:c r="A126" s="2" t="str">
        <x:v>智界V9</x:v>
      </x:c>
      <x:c r="B126" s="2" t="str">
        <x:v>鸿蒙智行</x:v>
      </x:c>
      <x:c r="C126" s="8" t="n">
        <x:v>0</x:v>
      </x:c>
      <x:c r="D126" s="8" t="n">
        <x:v>0</x:v>
      </x:c>
      <x:c r="E126" s="8" t="n">
        <x:f>D126-C126</x:f>
        <x:v>0</x:v>
      </x:c>
      <x:c r="F126" s="9" t="str">
        <x:f>IF(C126=0,"n.a.",E126/C126)</x:f>
        <x:v>n.a.</x:v>
      </x:c>
      <x:c r="G126" s="9" t="n">
        <x:f>D126/SUM($D$6:$D$127)</x:f>
        <x:v>0</x:v>
      </x:c>
      <x:c r="H126" s="2" t="n">
        <x:v>0</x:v>
      </x:c>
      <x:c r="I126" s="10"/>
      <x:c r="J126" s="8" t="n">
        <x:v>0</x:v>
      </x:c>
      <x:c r="K126" s="8" t="n">
        <x:v>0</x:v>
      </x:c>
      <x:c r="L126" s="8" t="n">
        <x:v>0</x:v>
      </x:c>
      <x:c r="M126" s="8" t="n">
        <x:v>0</x:v>
      </x:c>
      <x:c r="N126" s="2"/>
      <x:c r="O126" s="2"/>
      <x:c r="P126" s="10"/>
      <x:c r="Q126" s="2"/>
      <x:c r="R126" s="2"/>
      <x:c r="S126" s="2"/>
      <x:c r="T126" s="9" t="n">
        <x:f>H126/12</x:f>
        <x:v>0</x:v>
      </x:c>
    </x:row>
    <x:row r="127" ht="22" customHeight="1">
      <x:c r="A127" s="2" t="str">
        <x:v>零跑D99</x:v>
      </x:c>
      <x:c r="B127" s="2" t="str">
        <x:v>零跑汽车</x:v>
      </x:c>
      <x:c r="C127" s="8" t="n">
        <x:v>0</x:v>
      </x:c>
      <x:c r="D127" s="8" t="n">
        <x:v>0</x:v>
      </x:c>
      <x:c r="E127" s="8" t="n">
        <x:f>D127-C127</x:f>
        <x:v>0</x:v>
      </x:c>
      <x:c r="F127" s="9" t="str">
        <x:f>IF(C127=0,"n.a.",E127/C127)</x:f>
        <x:v>n.a.</x:v>
      </x:c>
      <x:c r="G127" s="9" t="n">
        <x:f>D127/SUM($D$6:$D$127)</x:f>
        <x:v>0</x:v>
      </x:c>
      <x:c r="H127" s="2" t="n">
        <x:v>0</x:v>
      </x:c>
      <x:c r="I127" s="10"/>
      <x:c r="J127" s="8" t="n">
        <x:v>0</x:v>
      </x:c>
      <x:c r="K127" s="8" t="n">
        <x:v>0</x:v>
      </x:c>
      <x:c r="L127" s="8" t="n">
        <x:v>0</x:v>
      </x:c>
      <x:c r="M127" s="8" t="n">
        <x:v>0</x:v>
      </x:c>
      <x:c r="N127" s="2"/>
      <x:c r="O127" s="2"/>
      <x:c r="P127" s="10"/>
      <x:c r="Q127" s="2"/>
      <x:c r="R127" s="2"/>
      <x:c r="S127" s="2"/>
      <x:c r="T127" s="9" t="n">
        <x:f>H127/12</x:f>
        <x:v>0</x:v>
      </x:c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</x:sheetData>
  <x:conditionalFormatting sqref="E6:E127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f63811796b40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图表数据与来源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来源：Yemyu/china-auto-market-analysis；固定提交 135dbf3483403b69b9626f39a9ca5ce091ce6c73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https://github.com/Yemyu/china-auto-market-analysis/tree/135dbf3483403b69b9626f39a9ca5ce091ce6c73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7" t="str">
        <x:v>月份</x:v>
      </x:c>
      <x:c r="B6" s="7" t="str">
        <x:v>魏牌 高山</x:v>
      </x:c>
      <x:c r="C6" s="7" t="str">
        <x:v>岚图梦想家</x:v>
      </x:c>
      <x:c r="D6" s="7" t="str">
        <x:v>腾势D9</x:v>
      </x:c>
      <x:c r="E6" s="7" t="str">
        <x:v>别克GL8</x:v>
      </x:c>
      <x:c r="F6" s="7" t="str">
        <x:v>别克GL8新能源</x:v>
      </x:c>
      <x:c r="G6" s="2"/>
      <x:c r="H6" s="7" t="str">
        <x:v>月份</x:v>
      </x:c>
      <x:c r="I6" s="7" t="str">
        <x:v>2022</x:v>
      </x:c>
      <x:c r="J6" s="7" t="str">
        <x:v>2023</x:v>
      </x:c>
      <x:c r="K6" s="7" t="str">
        <x:v>2024</x:v>
      </x:c>
      <x:c r="L6" s="7" t="str">
        <x:v>2025</x:v>
      </x:c>
      <x:c r="M6" s="7" t="str">
        <x:v>2026</x:v>
      </x:c>
      <x:c r="N6" s="2"/>
      <x:c r="O6" s="7" t="str">
        <x:v>月份</x:v>
      </x:c>
      <x:c r="P6" s="7" t="str">
        <x:v>魏牌 高山</x:v>
      </x:c>
      <x:c r="Q6" s="7" t="str">
        <x:v>岚图梦想家</x:v>
      </x:c>
      <x:c r="R6" s="7" t="str">
        <x:v>腾势D9</x:v>
      </x:c>
      <x:c r="S6" s="7" t="str">
        <x:v>别克GL8</x:v>
      </x:c>
      <x:c r="T6" s="7" t="str">
        <x:v>别克GL8新能源</x:v>
      </x:c>
    </x:row>
    <x:row r="7" ht="22" customHeight="1">
      <x:c r="A7" s="2" t="str">
        <x:v>2024-01</x:v>
      </x:c>
      <x:c r="B7" s="8" t="n">
        <x:v>1091</x:v>
      </x:c>
      <x:c r="C7" s="8" t="n">
        <x:v>3539</x:v>
      </x:c>
      <x:c r="D7" s="8" t="n">
        <x:v>8360</x:v>
      </x:c>
      <x:c r="E7" s="8" t="n">
        <x:v>4989</x:v>
      </x:c>
      <x:c r="F7" s="8" t="n">
        <x:v>0</x:v>
      </x:c>
      <x:c r="G7" s="2"/>
      <x:c r="H7" s="2" t="n">
        <x:v>1</x:v>
      </x:c>
      <x:c r="I7" s="8" t="n">
        <x:v>65020</x:v>
      </x:c>
      <x:c r="J7" s="8" t="n">
        <x:v>44557</x:v>
      </x:c>
      <x:c r="K7" s="8" t="n">
        <x:v>76768</x:v>
      </x:c>
      <x:c r="L7" s="8" t="n">
        <x:v>71269</x:v>
      </x:c>
      <x:c r="M7" s="8" t="n">
        <x:v>72224</x:v>
      </x:c>
      <x:c r="N7" s="2"/>
      <x:c r="O7" s="2" t="str">
        <x:f>RIGHT(LEFT(A7,4),2)&amp;"/"&amp;RIGHT(A7,2)</x:f>
        <x:v>24/01</x:v>
      </x:c>
      <x:c r="P7" s="2" t="n">
        <x:f>B7</x:f>
        <x:v>1091</x:v>
      </x:c>
      <x:c r="Q7" s="2" t="n">
        <x:f>C7</x:f>
        <x:v>3539</x:v>
      </x:c>
      <x:c r="R7" s="2" t="n">
        <x:f>D7</x:f>
        <x:v>8360</x:v>
      </x:c>
      <x:c r="S7" s="2" t="n">
        <x:f>E7</x:f>
        <x:v>4989</x:v>
      </x:c>
      <x:c r="T7" s="2" t="n">
        <x:f>F7</x:f>
        <x:v>0</x:v>
      </x:c>
    </x:row>
    <x:row r="8" ht="22" customHeight="1">
      <x:c r="A8" s="2" t="str">
        <x:v>2024-02</x:v>
      </x:c>
      <x:c r="B8" s="8" t="n">
        <x:v>403</x:v>
      </x:c>
      <x:c r="C8" s="8" t="n">
        <x:v>1406</x:v>
      </x:c>
      <x:c r="D8" s="8" t="n">
        <x:v>4219</x:v>
      </x:c>
      <x:c r="E8" s="8" t="n">
        <x:v>4392</x:v>
      </x:c>
      <x:c r="F8" s="8" t="n">
        <x:v>0</x:v>
      </x:c>
      <x:c r="G8" s="2"/>
      <x:c r="H8" s="2" t="n">
        <x:v>2</x:v>
      </x:c>
      <x:c r="I8" s="8" t="n">
        <x:v>42368</x:v>
      </x:c>
      <x:c r="J8" s="8" t="n">
        <x:v>61388</x:v>
      </x:c>
      <x:c r="K8" s="8" t="n">
        <x:v>40962</x:v>
      </x:c>
      <x:c r="L8" s="8" t="n">
        <x:v>54049</x:v>
      </x:c>
      <x:c r="M8" s="8" t="n">
        <x:v>44455</x:v>
      </x:c>
      <x:c r="N8" s="2"/>
      <x:c r="O8" s="2" t="str">
        <x:f>RIGHT(LEFT(A8,4),2)&amp;"/"&amp;RIGHT(A8,2)</x:f>
        <x:v>24/02</x:v>
      </x:c>
      <x:c r="P8" s="2" t="n">
        <x:f>B8</x:f>
        <x:v>403</x:v>
      </x:c>
      <x:c r="Q8" s="2" t="n">
        <x:f>C8</x:f>
        <x:v>1406</x:v>
      </x:c>
      <x:c r="R8" s="2" t="n">
        <x:f>D8</x:f>
        <x:v>4219</x:v>
      </x:c>
      <x:c r="S8" s="2" t="n">
        <x:f>E8</x:f>
        <x:v>4392</x:v>
      </x:c>
      <x:c r="T8" s="2" t="n">
        <x:f>F8</x:f>
        <x:v>0</x:v>
      </x:c>
    </x:row>
    <x:row r="9" ht="22" customHeight="1">
      <x:c r="A9" s="2" t="str">
        <x:v>2024-03</x:v>
      </x:c>
      <x:c r="B9" s="8" t="n">
        <x:v>625</x:v>
      </x:c>
      <x:c r="C9" s="8" t="n">
        <x:v>3095</x:v>
      </x:c>
      <x:c r="D9" s="8" t="n">
        <x:v>10036</x:v>
      </x:c>
      <x:c r="E9" s="8" t="n">
        <x:v>7409</x:v>
      </x:c>
      <x:c r="F9" s="8" t="n">
        <x:v>0</x:v>
      </x:c>
      <x:c r="G9" s="2"/>
      <x:c r="H9" s="2" t="n">
        <x:v>3</x:v>
      </x:c>
      <x:c r="I9" s="8" t="n">
        <x:v>49469</x:v>
      </x:c>
      <x:c r="J9" s="8" t="n">
        <x:v>79386</x:v>
      </x:c>
      <x:c r="K9" s="8" t="n">
        <x:v>77443</x:v>
      </x:c>
      <x:c r="L9" s="8" t="n">
        <x:v>78286</x:v>
      </x:c>
      <x:c r="M9" s="8" t="n">
        <x:v>70599</x:v>
      </x:c>
      <x:c r="N9" s="2"/>
      <x:c r="O9" s="2" t="str">
        <x:f>RIGHT(LEFT(A9,4),2)&amp;"/"&amp;RIGHT(A9,2)</x:f>
        <x:v>24/03</x:v>
      </x:c>
      <x:c r="P9" s="2" t="n">
        <x:f>B9</x:f>
        <x:v>625</x:v>
      </x:c>
      <x:c r="Q9" s="2" t="n">
        <x:f>C9</x:f>
        <x:v>3095</x:v>
      </x:c>
      <x:c r="R9" s="2" t="n">
        <x:f>D9</x:f>
        <x:v>10036</x:v>
      </x:c>
      <x:c r="S9" s="2" t="n">
        <x:f>E9</x:f>
        <x:v>7409</x:v>
      </x:c>
      <x:c r="T9" s="2" t="n">
        <x:f>F9</x:f>
        <x:v>0</x:v>
      </x:c>
    </x:row>
    <x:row r="10" ht="22" customHeight="1">
      <x:c r="A10" s="2" t="str">
        <x:v>2024-04</x:v>
      </x:c>
      <x:c r="B10" s="8" t="n">
        <x:v>789</x:v>
      </x:c>
      <x:c r="C10" s="8" t="n">
        <x:v>2822</x:v>
      </x:c>
      <x:c r="D10" s="8" t="n">
        <x:v>10031</x:v>
      </x:c>
      <x:c r="E10" s="8" t="n">
        <x:v>5192</x:v>
      </x:c>
      <x:c r="F10" s="8" t="n">
        <x:v>0</x:v>
      </x:c>
      <x:c r="G10" s="2"/>
      <x:c r="H10" s="2" t="n">
        <x:v>4</x:v>
      </x:c>
      <x:c r="I10" s="8" t="n">
        <x:v>39055</x:v>
      </x:c>
      <x:c r="J10" s="8" t="n">
        <x:v>77113</x:v>
      </x:c>
      <x:c r="K10" s="8" t="n">
        <x:v>70488</x:v>
      </x:c>
      <x:c r="L10" s="8" t="n">
        <x:v>74843</x:v>
      </x:c>
      <x:c r="M10" s="8" t="n">
        <x:v>61146</x:v>
      </x:c>
      <x:c r="N10" s="2"/>
      <x:c r="O10" s="2" t="str">
        <x:f>RIGHT(LEFT(A10,4),2)&amp;"/"&amp;RIGHT(A10,2)</x:f>
        <x:v>24/04</x:v>
      </x:c>
      <x:c r="P10" s="2" t="n">
        <x:f>B10</x:f>
        <x:v>789</x:v>
      </x:c>
      <x:c r="Q10" s="2" t="n">
        <x:f>C10</x:f>
        <x:v>2822</x:v>
      </x:c>
      <x:c r="R10" s="2" t="n">
        <x:f>D10</x:f>
        <x:v>10031</x:v>
      </x:c>
      <x:c r="S10" s="2" t="n">
        <x:f>E10</x:f>
        <x:v>5192</x:v>
      </x:c>
      <x:c r="T10" s="2" t="n">
        <x:f>F10</x:f>
        <x:v>0</x:v>
      </x:c>
    </x:row>
    <x:row r="11" ht="22" customHeight="1">
      <x:c r="A11" s="2" t="str">
        <x:v>2024-05</x:v>
      </x:c>
      <x:c r="B11" s="8" t="n">
        <x:v>525</x:v>
      </x:c>
      <x:c r="C11" s="8" t="n">
        <x:v>3156</x:v>
      </x:c>
      <x:c r="D11" s="8" t="n">
        <x:v>10158</x:v>
      </x:c>
      <x:c r="E11" s="8" t="n">
        <x:v>6374</x:v>
      </x:c>
      <x:c r="F11" s="8" t="n">
        <x:v>0</x:v>
      </x:c>
      <x:c r="G11" s="2"/>
      <x:c r="H11" s="2" t="n">
        <x:v>5</x:v>
      </x:c>
      <x:c r="I11" s="8" t="n">
        <x:v>39734</x:v>
      </x:c>
      <x:c r="J11" s="8" t="n">
        <x:v>79200</x:v>
      </x:c>
      <x:c r="K11" s="8" t="n">
        <x:v>64885</x:v>
      </x:c>
      <x:c r="L11" s="8" t="n">
        <x:v>81798</x:v>
      </x:c>
      <x:c r="M11" s="8" t="n">
        <x:v>60248</x:v>
      </x:c>
      <x:c r="N11" s="2"/>
      <x:c r="O11" s="2" t="str">
        <x:f>RIGHT(LEFT(A11,4),2)&amp;"/"&amp;RIGHT(A11,2)</x:f>
        <x:v>24/05</x:v>
      </x:c>
      <x:c r="P11" s="2" t="n">
        <x:f>B11</x:f>
        <x:v>525</x:v>
      </x:c>
      <x:c r="Q11" s="2" t="n">
        <x:f>C11</x:f>
        <x:v>3156</x:v>
      </x:c>
      <x:c r="R11" s="2" t="n">
        <x:f>D11</x:f>
        <x:v>10158</x:v>
      </x:c>
      <x:c r="S11" s="2" t="n">
        <x:f>E11</x:f>
        <x:v>6374</x:v>
      </x:c>
      <x:c r="T11" s="2" t="n">
        <x:f>F11</x:f>
        <x:v>0</x:v>
      </x:c>
    </x:row>
    <x:row r="12" ht="22" customHeight="1">
      <x:c r="A12" s="2" t="str">
        <x:v>2024-06</x:v>
      </x:c>
      <x:c r="B12" s="8" t="n">
        <x:v>504</x:v>
      </x:c>
      <x:c r="C12" s="8" t="n">
        <x:v>3247</x:v>
      </x:c>
      <x:c r="D12" s="8" t="n">
        <x:v>10186</x:v>
      </x:c>
      <x:c r="E12" s="8" t="n">
        <x:v>4962</x:v>
      </x:c>
      <x:c r="F12" s="8" t="n">
        <x:v>439</x:v>
      </x:c>
      <x:c r="G12" s="2"/>
      <x:c r="H12" s="2" t="n">
        <x:v>6</x:v>
      </x:c>
      <x:c r="I12" s="8" t="n">
        <x:v>56479</x:v>
      </x:c>
      <x:c r="J12" s="8" t="n">
        <x:v>71994</x:v>
      </x:c>
      <x:c r="K12" s="8" t="n">
        <x:v>73103</x:v>
      </x:c>
      <x:c r="L12" s="8" t="n">
        <x:v>84859</x:v>
      </x:c>
      <x:c r="M12" s="8" t="n">
        <x:v>71648</x:v>
      </x:c>
      <x:c r="N12" s="2"/>
      <x:c r="O12" s="2" t="str">
        <x:f>RIGHT(LEFT(A12,4),2)&amp;"/"&amp;RIGHT(A12,2)</x:f>
        <x:v>24/06</x:v>
      </x:c>
      <x:c r="P12" s="2" t="n">
        <x:f>B12</x:f>
        <x:v>504</x:v>
      </x:c>
      <x:c r="Q12" s="2" t="n">
        <x:f>C12</x:f>
        <x:v>3247</x:v>
      </x:c>
      <x:c r="R12" s="2" t="n">
        <x:f>D12</x:f>
        <x:v>10186</x:v>
      </x:c>
      <x:c r="S12" s="2" t="n">
        <x:f>E12</x:f>
        <x:v>4962</x:v>
      </x:c>
      <x:c r="T12" s="2" t="n">
        <x:f>F12</x:f>
        <x:v>439</x:v>
      </x:c>
    </x:row>
    <x:row r="13" ht="22" customHeight="1">
      <x:c r="A13" s="2" t="str">
        <x:v>2024-07</x:v>
      </x:c>
      <x:c r="B13" s="8" t="n">
        <x:v>328</x:v>
      </x:c>
      <x:c r="C13" s="8" t="n">
        <x:v>3235</x:v>
      </x:c>
      <x:c r="D13" s="8" t="n">
        <x:v>9030</x:v>
      </x:c>
      <x:c r="E13" s="8" t="n">
        <x:v>4746</x:v>
      </x:c>
      <x:c r="F13" s="8" t="n">
        <x:v>3483</x:v>
      </x:c>
      <x:c r="G13" s="2"/>
      <x:c r="H13" s="2" t="n">
        <x:v>7</x:v>
      </x:c>
      <x:c r="I13" s="8" t="n">
        <x:v>59960</x:v>
      </x:c>
      <x:c r="J13" s="8" t="n">
        <x:v>78111</x:v>
      </x:c>
      <x:c r="K13" s="8" t="n">
        <x:v>73113</x:v>
      </x:c>
      <x:c r="L13" s="8" t="n">
        <x:v>80596</x:v>
      </x:c>
      <x:c r="M13" s="8"/>
      <x:c r="N13" s="2"/>
      <x:c r="O13" s="2" t="str">
        <x:f>RIGHT(LEFT(A13,4),2)&amp;"/"&amp;RIGHT(A13,2)</x:f>
        <x:v>24/07</x:v>
      </x:c>
      <x:c r="P13" s="2" t="n">
        <x:f>B13</x:f>
        <x:v>328</x:v>
      </x:c>
      <x:c r="Q13" s="2" t="n">
        <x:f>C13</x:f>
        <x:v>3235</x:v>
      </x:c>
      <x:c r="R13" s="2" t="n">
        <x:f>D13</x:f>
        <x:v>9030</x:v>
      </x:c>
      <x:c r="S13" s="2" t="n">
        <x:f>E13</x:f>
        <x:v>4746</x:v>
      </x:c>
      <x:c r="T13" s="2" t="n">
        <x:f>F13</x:f>
        <x:v>3483</x:v>
      </x:c>
    </x:row>
    <x:row r="14" ht="22" customHeight="1">
      <x:c r="A14" s="2" t="str">
        <x:v>2024-08</x:v>
      </x:c>
      <x:c r="B14" s="8" t="n">
        <x:v>332</x:v>
      </x:c>
      <x:c r="C14" s="8" t="n">
        <x:v>3254</x:v>
      </x:c>
      <x:c r="D14" s="8" t="n">
        <x:v>9181</x:v>
      </x:c>
      <x:c r="E14" s="8" t="n">
        <x:v>3689</x:v>
      </x:c>
      <x:c r="F14" s="8" t="n">
        <x:v>4234</x:v>
      </x:c>
      <x:c r="G14" s="2"/>
      <x:c r="H14" s="2" t="n">
        <x:v>8</x:v>
      </x:c>
      <x:c r="I14" s="8" t="n">
        <x:v>61305</x:v>
      </x:c>
      <x:c r="J14" s="8" t="n">
        <x:v>80378</x:v>
      </x:c>
      <x:c r="K14" s="8" t="n">
        <x:v>79223</x:v>
      </x:c>
      <x:c r="L14" s="8" t="n">
        <x:v>79380</x:v>
      </x:c>
      <x:c r="M14" s="8"/>
      <x:c r="N14" s="2"/>
      <x:c r="O14" s="2" t="str">
        <x:f>RIGHT(LEFT(A14,4),2)&amp;"/"&amp;RIGHT(A14,2)</x:f>
        <x:v>24/08</x:v>
      </x:c>
      <x:c r="P14" s="2" t="n">
        <x:f>B14</x:f>
        <x:v>332</x:v>
      </x:c>
      <x:c r="Q14" s="2" t="n">
        <x:f>C14</x:f>
        <x:v>3254</x:v>
      </x:c>
      <x:c r="R14" s="2" t="n">
        <x:f>D14</x:f>
        <x:v>9181</x:v>
      </x:c>
      <x:c r="S14" s="2" t="n">
        <x:f>E14</x:f>
        <x:v>3689</x:v>
      </x:c>
      <x:c r="T14" s="2" t="n">
        <x:f>F14</x:f>
        <x:v>4234</x:v>
      </x:c>
    </x:row>
    <x:row r="15" ht="22" customHeight="1">
      <x:c r="A15" s="2" t="str">
        <x:v>2024-09</x:v>
      </x:c>
      <x:c r="B15" s="8" t="n">
        <x:v>255</x:v>
      </x:c>
      <x:c r="C15" s="8" t="n">
        <x:v>5400</x:v>
      </x:c>
      <x:c r="D15" s="8" t="n">
        <x:v>8122</x:v>
      </x:c>
      <x:c r="E15" s="8" t="n">
        <x:v>4368</x:v>
      </x:c>
      <x:c r="F15" s="8" t="n">
        <x:v>4691</x:v>
      </x:c>
      <x:c r="G15" s="2"/>
      <x:c r="H15" s="2" t="n">
        <x:v>9</x:v>
      </x:c>
      <x:c r="I15" s="8" t="n">
        <x:v>57036</x:v>
      </x:c>
      <x:c r="J15" s="8" t="n">
        <x:v>86460</x:v>
      </x:c>
      <x:c r="K15" s="8" t="n">
        <x:v>83038</x:v>
      </x:c>
      <x:c r="L15" s="8" t="n">
        <x:v>81889</x:v>
      </x:c>
      <x:c r="M15" s="8"/>
      <x:c r="N15" s="2"/>
      <x:c r="O15" s="2" t="str">
        <x:f>RIGHT(LEFT(A15,4),2)&amp;"/"&amp;RIGHT(A15,2)</x:f>
        <x:v>24/09</x:v>
      </x:c>
      <x:c r="P15" s="2" t="n">
        <x:f>B15</x:f>
        <x:v>255</x:v>
      </x:c>
      <x:c r="Q15" s="2" t="n">
        <x:f>C15</x:f>
        <x:v>5400</x:v>
      </x:c>
      <x:c r="R15" s="2" t="n">
        <x:f>D15</x:f>
        <x:v>8122</x:v>
      </x:c>
      <x:c r="S15" s="2" t="n">
        <x:f>E15</x:f>
        <x:v>4368</x:v>
      </x:c>
      <x:c r="T15" s="2" t="n">
        <x:f>F15</x:f>
        <x:v>4691</x:v>
      </x:c>
    </x:row>
    <x:row r="16" ht="22" customHeight="1">
      <x:c r="A16" s="2" t="str">
        <x:v>2024-10</x:v>
      </x:c>
      <x:c r="B16" s="8" t="n">
        <x:v>136</x:v>
      </x:c>
      <x:c r="C16" s="8" t="n">
        <x:v>7808</x:v>
      </x:c>
      <x:c r="D16" s="8" t="n">
        <x:v>7381</x:v>
      </x:c>
      <x:c r="E16" s="8" t="n">
        <x:v>3816</x:v>
      </x:c>
      <x:c r="F16" s="8" t="n">
        <x:v>3153</x:v>
      </x:c>
      <x:c r="G16" s="2"/>
      <x:c r="H16" s="2" t="n">
        <x:v>10</x:v>
      </x:c>
      <x:c r="I16" s="8" t="n">
        <x:v>57145</x:v>
      </x:c>
      <x:c r="J16" s="8" t="n">
        <x:v>78942</x:v>
      </x:c>
      <x:c r="K16" s="8" t="n">
        <x:v>82478</x:v>
      </x:c>
      <x:c r="L16" s="8" t="n">
        <x:v>75958</x:v>
      </x:c>
      <x:c r="M16" s="8"/>
      <x:c r="N16" s="2"/>
      <x:c r="O16" s="2" t="str">
        <x:f>RIGHT(LEFT(A16,4),2)&amp;"/"&amp;RIGHT(A16,2)</x:f>
        <x:v>24/10</x:v>
      </x:c>
      <x:c r="P16" s="2" t="n">
        <x:f>B16</x:f>
        <x:v>136</x:v>
      </x:c>
      <x:c r="Q16" s="2" t="n">
        <x:f>C16</x:f>
        <x:v>7808</x:v>
      </x:c>
      <x:c r="R16" s="2" t="n">
        <x:f>D16</x:f>
        <x:v>7381</x:v>
      </x:c>
      <x:c r="S16" s="2" t="n">
        <x:f>E16</x:f>
        <x:v>3816</x:v>
      </x:c>
      <x:c r="T16" s="2" t="n">
        <x:f>F16</x:f>
        <x:v>3153</x:v>
      </x:c>
    </x:row>
    <x:row r="17" ht="22" customHeight="1">
      <x:c r="A17" s="2" t="str">
        <x:v>2024-11</x:v>
      </x:c>
      <x:c r="B17" s="8" t="n">
        <x:v>227</x:v>
      </x:c>
      <x:c r="C17" s="8" t="n">
        <x:v>8039</x:v>
      </x:c>
      <x:c r="D17" s="8" t="n">
        <x:v>6100</x:v>
      </x:c>
      <x:c r="E17" s="8" t="n">
        <x:v>5874</x:v>
      </x:c>
      <x:c r="F17" s="8" t="n">
        <x:v>3618</x:v>
      </x:c>
      <x:c r="G17" s="2"/>
      <x:c r="H17" s="2" t="n">
        <x:v>11</x:v>
      </x:c>
      <x:c r="I17" s="8" t="n">
        <x:v>49614</x:v>
      </x:c>
      <x:c r="J17" s="8" t="n">
        <x:v>74140</x:v>
      </x:c>
      <x:c r="K17" s="8" t="n">
        <x:v>89918</x:v>
      </x:c>
      <x:c r="L17" s="8" t="n">
        <x:v>79443</x:v>
      </x:c>
      <x:c r="M17" s="8"/>
      <x:c r="N17" s="2"/>
      <x:c r="O17" s="2" t="str">
        <x:f>RIGHT(LEFT(A17,4),2)&amp;"/"&amp;RIGHT(A17,2)</x:f>
        <x:v>24/11</x:v>
      </x:c>
      <x:c r="P17" s="2" t="n">
        <x:f>B17</x:f>
        <x:v>227</x:v>
      </x:c>
      <x:c r="Q17" s="2" t="n">
        <x:f>C17</x:f>
        <x:v>8039</x:v>
      </x:c>
      <x:c r="R17" s="2" t="n">
        <x:f>D17</x:f>
        <x:v>6100</x:v>
      </x:c>
      <x:c r="S17" s="2" t="n">
        <x:f>E17</x:f>
        <x:v>5874</x:v>
      </x:c>
      <x:c r="T17" s="2" t="n">
        <x:f>F17</x:f>
        <x:v>3618</x:v>
      </x:c>
    </x:row>
    <x:row r="18" ht="22" customHeight="1">
      <x:c r="A18" s="2" t="str">
        <x:v>2024-12</x:v>
      </x:c>
      <x:c r="B18" s="8" t="n">
        <x:v>418</x:v>
      </x:c>
      <x:c r="C18" s="8" t="n">
        <x:v>10116</x:v>
      </x:c>
      <x:c r="D18" s="8" t="n">
        <x:v>10006</x:v>
      </x:c>
      <x:c r="E18" s="8" t="n">
        <x:v>8877</x:v>
      </x:c>
      <x:c r="F18" s="8" t="n">
        <x:v>3438</x:v>
      </x:c>
      <x:c r="G18" s="2"/>
      <x:c r="H18" s="2" t="n">
        <x:v>12</x:v>
      </x:c>
      <x:c r="I18" s="8" t="n">
        <x:v>67685</x:v>
      </x:c>
      <x:c r="J18" s="8" t="n">
        <x:v>82885</x:v>
      </x:c>
      <x:c r="K18" s="8" t="n">
        <x:v>121401</x:v>
      </x:c>
      <x:c r="L18" s="8" t="n">
        <x:v>96877</x:v>
      </x:c>
      <x:c r="M18" s="8"/>
      <x:c r="N18" s="2"/>
      <x:c r="O18" s="2" t="str">
        <x:f>RIGHT(LEFT(A18,4),2)&amp;"/"&amp;RIGHT(A18,2)</x:f>
        <x:v>24/12</x:v>
      </x:c>
      <x:c r="P18" s="2" t="n">
        <x:f>B18</x:f>
        <x:v>418</x:v>
      </x:c>
      <x:c r="Q18" s="2" t="n">
        <x:f>C18</x:f>
        <x:v>10116</x:v>
      </x:c>
      <x:c r="R18" s="2" t="n">
        <x:f>D18</x:f>
        <x:v>10006</x:v>
      </x:c>
      <x:c r="S18" s="2" t="n">
        <x:f>E18</x:f>
        <x:v>8877</x:v>
      </x:c>
      <x:c r="T18" s="2" t="n">
        <x:f>F18</x:f>
        <x:v>3438</x:v>
      </x:c>
    </x:row>
    <x:row r="19" ht="22" customHeight="1">
      <x:c r="A19" s="2" t="str">
        <x:v>2025-01</x:v>
      </x:c>
      <x:c r="B19" s="8" t="n">
        <x:v>371</x:v>
      </x:c>
      <x:c r="C19" s="8" t="n">
        <x:v>6071</x:v>
      </x:c>
      <x:c r="D19" s="8" t="n">
        <x:v>10026</x:v>
      </x:c>
      <x:c r="E19" s="8" t="n">
        <x:v>5980</x:v>
      </x:c>
      <x:c r="F19" s="8" t="n">
        <x:v>1783</x:v>
      </x:c>
      <x:c r="G19" s="2"/>
      <x:c r="H19" s="2"/>
      <x:c r="I19" s="2"/>
      <x:c r="J19" s="2"/>
      <x:c r="K19" s="2"/>
      <x:c r="L19" s="2"/>
      <x:c r="M19" s="2"/>
      <x:c r="N19" s="2"/>
      <x:c r="O19" s="2" t="str">
        <x:f>RIGHT(LEFT(A19,4),2)&amp;"/"&amp;RIGHT(A19,2)</x:f>
        <x:v>25/01</x:v>
      </x:c>
      <x:c r="P19" s="2" t="n">
        <x:f>B19</x:f>
        <x:v>371</x:v>
      </x:c>
      <x:c r="Q19" s="2" t="n">
        <x:f>C19</x:f>
        <x:v>6071</x:v>
      </x:c>
      <x:c r="R19" s="2" t="n">
        <x:f>D19</x:f>
        <x:v>10026</x:v>
      </x:c>
      <x:c r="S19" s="2" t="n">
        <x:f>E19</x:f>
        <x:v>5980</x:v>
      </x:c>
      <x:c r="T19" s="2" t="n">
        <x:f>F19</x:f>
        <x:v>1783</x:v>
      </x:c>
    </x:row>
    <x:row r="20" ht="22" customHeight="1">
      <x:c r="A20" s="2" t="str">
        <x:v>2025-02</x:v>
      </x:c>
      <x:c r="B20" s="8" t="n">
        <x:v>343</x:v>
      </x:c>
      <x:c r="C20" s="8" t="n">
        <x:v>3972</x:v>
      </x:c>
      <x:c r="D20" s="8" t="n">
        <x:v>7593</x:v>
      </x:c>
      <x:c r="E20" s="8" t="n">
        <x:v>4786</x:v>
      </x:c>
      <x:c r="F20" s="8" t="n">
        <x:v>1380</x:v>
      </x:c>
      <x:c r="G20" s="2"/>
      <x:c r="H20" s="2"/>
      <x:c r="I20" s="2"/>
      <x:c r="J20" s="2"/>
      <x:c r="K20" s="2"/>
      <x:c r="L20" s="2"/>
      <x:c r="M20" s="2"/>
      <x:c r="N20" s="2"/>
      <x:c r="O20" s="2" t="str">
        <x:f>RIGHT(LEFT(A20,4),2)&amp;"/"&amp;RIGHT(A20,2)</x:f>
        <x:v>25/02</x:v>
      </x:c>
      <x:c r="P20" s="2" t="n">
        <x:f>B20</x:f>
        <x:v>343</x:v>
      </x:c>
      <x:c r="Q20" s="2" t="n">
        <x:f>C20</x:f>
        <x:v>3972</x:v>
      </x:c>
      <x:c r="R20" s="2" t="n">
        <x:f>D20</x:f>
        <x:v>7593</x:v>
      </x:c>
      <x:c r="S20" s="2" t="n">
        <x:f>E20</x:f>
        <x:v>4786</x:v>
      </x:c>
      <x:c r="T20" s="2" t="n">
        <x:f>F20</x:f>
        <x:v>1380</x:v>
      </x:c>
    </x:row>
    <x:row r="21" ht="30" customHeight="1">
      <x:c r="A21" s="2" t="str">
        <x:v>2025-03</x:v>
      </x:c>
      <x:c r="B21" s="8" t="n">
        <x:v>402</x:v>
      </x:c>
      <x:c r="C21" s="8" t="n">
        <x:v>6508</x:v>
      </x:c>
      <x:c r="D21" s="8" t="n">
        <x:v>9326</x:v>
      </x:c>
      <x:c r="E21" s="8" t="n">
        <x:v>6101</x:v>
      </x:c>
      <x:c r="F21" s="8" t="n">
        <x:v>1664</x:v>
      </x:c>
      <x:c r="G21" s="2"/>
      <x:c r="H21" s="7" t="str">
        <x:v>年份</x:v>
      </x:c>
      <x:c r="I21" s="7" t="str">
        <x:v>MPV销量（辆）</x:v>
      </x:c>
      <x:c r="J21" s="7" t="str">
        <x:v>有销量品牌数</x:v>
      </x:c>
      <x:c r="K21" s="7" t="str">
        <x:v>品牌CR3</x:v>
      </x:c>
      <x:c r="L21" s="7" t="str">
        <x:v>品牌CR5</x:v>
      </x:c>
      <x:c r="M21" s="7" t="str">
        <x:v>HHI</x:v>
      </x:c>
      <x:c r="N21" s="2"/>
      <x:c r="O21" s="2" t="str">
        <x:f>RIGHT(LEFT(A21,4),2)&amp;"/"&amp;RIGHT(A21,2)</x:f>
        <x:v>25/03</x:v>
      </x:c>
      <x:c r="P21" s="2" t="n">
        <x:f>B21</x:f>
        <x:v>402</x:v>
      </x:c>
      <x:c r="Q21" s="2" t="n">
        <x:f>C21</x:f>
        <x:v>6508</x:v>
      </x:c>
      <x:c r="R21" s="2" t="n">
        <x:f>D21</x:f>
        <x:v>9326</x:v>
      </x:c>
      <x:c r="S21" s="2" t="n">
        <x:f>E21</x:f>
        <x:v>6101</x:v>
      </x:c>
      <x:c r="T21" s="2" t="n">
        <x:f>F21</x:f>
        <x:v>1664</x:v>
      </x:c>
    </x:row>
    <x:row r="22" ht="22" customHeight="1">
      <x:c r="A22" s="2" t="str">
        <x:v>2025-04</x:v>
      </x:c>
      <x:c r="B22" s="8" t="n">
        <x:v>304</x:v>
      </x:c>
      <x:c r="C22" s="8" t="n">
        <x:v>6719</x:v>
      </x:c>
      <x:c r="D22" s="8" t="n">
        <x:v>9045</x:v>
      </x:c>
      <x:c r="E22" s="8" t="n">
        <x:v>5590</x:v>
      </x:c>
      <x:c r="F22" s="8" t="n">
        <x:v>3842</x:v>
      </x:c>
      <x:c r="G22" s="2"/>
      <x:c r="H22" s="2" t="n">
        <x:v>2022</x:v>
      </x:c>
      <x:c r="I22" s="8" t="n">
        <x:v>644870</x:v>
      </x:c>
      <x:c r="J22" s="8" t="n">
        <x:v>20</x:v>
      </x:c>
      <x:c r="K22" s="9" t="n">
        <x:v>0.4831051219625661</x:v>
      </x:c>
      <x:c r="L22" s="9" t="n">
        <x:v>0.6537503682912835</x:v>
      </x:c>
      <x:c r="M22" s="11" t="n">
        <x:v>1079.7712776278436</x:v>
      </x:c>
      <x:c r="N22" s="2"/>
      <x:c r="O22" s="2" t="str">
        <x:f>RIGHT(LEFT(A22,4),2)&amp;"/"&amp;RIGHT(A22,2)</x:f>
        <x:v>25/04</x:v>
      </x:c>
      <x:c r="P22" s="2" t="n">
        <x:f>B22</x:f>
        <x:v>304</x:v>
      </x:c>
      <x:c r="Q22" s="2" t="n">
        <x:f>C22</x:f>
        <x:v>6719</x:v>
      </x:c>
      <x:c r="R22" s="2" t="n">
        <x:f>D22</x:f>
        <x:v>9045</x:v>
      </x:c>
      <x:c r="S22" s="2" t="n">
        <x:f>E22</x:f>
        <x:v>5590</x:v>
      </x:c>
      <x:c r="T22" s="2" t="n">
        <x:f>F22</x:f>
        <x:v>3842</x:v>
      </x:c>
    </x:row>
    <x:row r="23" ht="22" customHeight="1">
      <x:c r="A23" s="2" t="str">
        <x:v>2025-05</x:v>
      </x:c>
      <x:c r="B23" s="8" t="n">
        <x:v>2254</x:v>
      </x:c>
      <x:c r="C23" s="8" t="n">
        <x:v>6540</x:v>
      </x:c>
      <x:c r="D23" s="8" t="n">
        <x:v>8686</x:v>
      </x:c>
      <x:c r="E23" s="8" t="n">
        <x:v>4997</x:v>
      </x:c>
      <x:c r="F23" s="8" t="n">
        <x:v>7391</x:v>
      </x:c>
      <x:c r="G23" s="2"/>
      <x:c r="H23" s="2" t="n">
        <x:v>2023</x:v>
      </x:c>
      <x:c r="I23" s="8" t="n">
        <x:v>894554</x:v>
      </x:c>
      <x:c r="J23" s="8" t="n">
        <x:v>24</x:v>
      </x:c>
      <x:c r="K23" s="9" t="n">
        <x:v>0.4703136982228015</x:v>
      </x:c>
      <x:c r="L23" s="9" t="n">
        <x:v>0.6769820491552214</x:v>
      </x:c>
      <x:c r="M23" s="11" t="n">
        <x:v>1076.3078751776936</x:v>
      </x:c>
      <x:c r="N23" s="2"/>
      <x:c r="O23" s="2" t="str">
        <x:f>RIGHT(LEFT(A23,4),2)&amp;"/"&amp;RIGHT(A23,2)</x:f>
        <x:v>25/05</x:v>
      </x:c>
      <x:c r="P23" s="2" t="n">
        <x:f>B23</x:f>
        <x:v>2254</x:v>
      </x:c>
      <x:c r="Q23" s="2" t="n">
        <x:f>C23</x:f>
        <x:v>6540</x:v>
      </x:c>
      <x:c r="R23" s="2" t="n">
        <x:f>D23</x:f>
        <x:v>8686</x:v>
      </x:c>
      <x:c r="S23" s="2" t="n">
        <x:f>E23</x:f>
        <x:v>4997</x:v>
      </x:c>
      <x:c r="T23" s="2" t="n">
        <x:f>F23</x:f>
        <x:v>7391</x:v>
      </x:c>
    </x:row>
    <x:row r="24" ht="22" customHeight="1">
      <x:c r="A24" s="2" t="str">
        <x:v>2025-06</x:v>
      </x:c>
      <x:c r="B24" s="8" t="n">
        <x:v>5949</x:v>
      </x:c>
      <x:c r="C24" s="8" t="n">
        <x:v>7247</x:v>
      </x:c>
      <x:c r="D24" s="8" t="n">
        <x:v>8272</x:v>
      </x:c>
      <x:c r="E24" s="8" t="n">
        <x:v>3830</x:v>
      </x:c>
      <x:c r="F24" s="8" t="n">
        <x:v>6082</x:v>
      </x:c>
      <x:c r="G24" s="2"/>
      <x:c r="H24" s="2" t="n">
        <x:v>2024</x:v>
      </x:c>
      <x:c r="I24" s="8" t="n">
        <x:v>932820</x:v>
      </x:c>
      <x:c r="J24" s="8" t="n">
        <x:v>27</x:v>
      </x:c>
      <x:c r="K24" s="9" t="n">
        <x:v>0.4800186531163568</x:v>
      </x:c>
      <x:c r="L24" s="9" t="n">
        <x:v>0.644807143929161</x:v>
      </x:c>
      <x:c r="M24" s="11" t="n">
        <x:v>1051.8418467318998</x:v>
      </x:c>
      <x:c r="N24" s="2"/>
      <x:c r="O24" s="2" t="str">
        <x:f>RIGHT(LEFT(A24,4),2)&amp;"/"&amp;RIGHT(A24,2)</x:f>
        <x:v>25/06</x:v>
      </x:c>
      <x:c r="P24" s="2" t="n">
        <x:f>B24</x:f>
        <x:v>5949</x:v>
      </x:c>
      <x:c r="Q24" s="2" t="n">
        <x:f>C24</x:f>
        <x:v>7247</x:v>
      </x:c>
      <x:c r="R24" s="2" t="n">
        <x:f>D24</x:f>
        <x:v>8272</x:v>
      </x:c>
      <x:c r="S24" s="2" t="n">
        <x:f>E24</x:f>
        <x:v>3830</x:v>
      </x:c>
      <x:c r="T24" s="2" t="n">
        <x:f>F24</x:f>
        <x:v>6082</x:v>
      </x:c>
    </x:row>
    <x:row r="25" ht="22" customHeight="1">
      <x:c r="A25" s="2" t="str">
        <x:v>2025-07</x:v>
      </x:c>
      <x:c r="B25" s="8" t="n">
        <x:v>6149</x:v>
      </x:c>
      <x:c r="C25" s="8" t="n">
        <x:v>7262</x:v>
      </x:c>
      <x:c r="D25" s="8" t="n">
        <x:v>7642</x:v>
      </x:c>
      <x:c r="E25" s="8" t="n">
        <x:v>5234</x:v>
      </x:c>
      <x:c r="F25" s="8" t="n">
        <x:v>6203</x:v>
      </x:c>
      <x:c r="G25" s="2"/>
      <x:c r="H25" s="2" t="n">
        <x:v>2025</x:v>
      </x:c>
      <x:c r="I25" s="8" t="n">
        <x:v>939247</x:v>
      </x:c>
      <x:c r="J25" s="8" t="n">
        <x:v>29</x:v>
      </x:c>
      <x:c r="K25" s="9" t="n">
        <x:v>0.4207285197610426</x:v>
      </x:c>
      <x:c r="L25" s="9" t="n">
        <x:v>0.6051698860896016</x:v>
      </x:c>
      <x:c r="M25" s="11" t="n">
        <x:v>893.4257258307919</x:v>
      </x:c>
      <x:c r="N25" s="2"/>
      <x:c r="O25" s="2" t="str">
        <x:f>RIGHT(LEFT(A25,4),2)&amp;"/"&amp;RIGHT(A25,2)</x:f>
        <x:v>25/07</x:v>
      </x:c>
      <x:c r="P25" s="2" t="n">
        <x:f>B25</x:f>
        <x:v>6149</x:v>
      </x:c>
      <x:c r="Q25" s="2" t="n">
        <x:f>C25</x:f>
        <x:v>7262</x:v>
      </x:c>
      <x:c r="R25" s="2" t="n">
        <x:f>D25</x:f>
        <x:v>7642</x:v>
      </x:c>
      <x:c r="S25" s="2" t="n">
        <x:f>E25</x:f>
        <x:v>5234</x:v>
      </x:c>
      <x:c r="T25" s="2" t="n">
        <x:f>F25</x:f>
        <x:v>6203</x:v>
      </x:c>
    </x:row>
    <x:row r="26" ht="22" customHeight="1">
      <x:c r="A26" s="2" t="str">
        <x:v>2025-08</x:v>
      </x:c>
      <x:c r="B26" s="8" t="n">
        <x:v>5007</x:v>
      </x:c>
      <x:c r="C26" s="8" t="n">
        <x:v>6691</x:v>
      </x:c>
      <x:c r="D26" s="8" t="n">
        <x:v>7052</x:v>
      </x:c>
      <x:c r="E26" s="8" t="n">
        <x:v>4505</x:v>
      </x:c>
      <x:c r="F26" s="8" t="n">
        <x:v>5490</x:v>
      </x:c>
      <x:c r="G26" s="2"/>
      <x:c r="H26" s="2"/>
      <x:c r="I26" s="2"/>
      <x:c r="J26" s="2"/>
      <x:c r="K26" s="2"/>
      <x:c r="L26" s="2"/>
      <x:c r="M26" s="2"/>
      <x:c r="N26" s="2"/>
      <x:c r="O26" s="2" t="str">
        <x:f>RIGHT(LEFT(A26,4),2)&amp;"/"&amp;RIGHT(A26,2)</x:f>
        <x:v>25/08</x:v>
      </x:c>
      <x:c r="P26" s="2" t="n">
        <x:f>B26</x:f>
        <x:v>5007</x:v>
      </x:c>
      <x:c r="Q26" s="2" t="n">
        <x:f>C26</x:f>
        <x:v>6691</x:v>
      </x:c>
      <x:c r="R26" s="2" t="n">
        <x:f>D26</x:f>
        <x:v>7052</x:v>
      </x:c>
      <x:c r="S26" s="2" t="n">
        <x:f>E26</x:f>
        <x:v>4505</x:v>
      </x:c>
      <x:c r="T26" s="2" t="n">
        <x:f>F26</x:f>
        <x:v>5490</x:v>
      </x:c>
    </x:row>
    <x:row r="27" ht="22" customHeight="1">
      <x:c r="A27" s="2" t="str">
        <x:v>2025-09</x:v>
      </x:c>
      <x:c r="B27" s="8" t="n">
        <x:v>7768</x:v>
      </x:c>
      <x:c r="C27" s="8" t="n">
        <x:v>6571</x:v>
      </x:c>
      <x:c r="D27" s="8" t="n">
        <x:v>7264</x:v>
      </x:c>
      <x:c r="E27" s="8" t="n">
        <x:v>4260</x:v>
      </x:c>
      <x:c r="F27" s="8" t="n">
        <x:v>7017</x:v>
      </x:c>
      <x:c r="G27" s="2"/>
      <x:c r="H27" s="2"/>
      <x:c r="I27" s="2"/>
      <x:c r="J27" s="2"/>
      <x:c r="K27" s="2"/>
      <x:c r="L27" s="2"/>
      <x:c r="M27" s="2"/>
      <x:c r="N27" s="2"/>
      <x:c r="O27" s="2" t="str">
        <x:f>RIGHT(LEFT(A27,4),2)&amp;"/"&amp;RIGHT(A27,2)</x:f>
        <x:v>25/09</x:v>
      </x:c>
      <x:c r="P27" s="2" t="n">
        <x:f>B27</x:f>
        <x:v>7768</x:v>
      </x:c>
      <x:c r="Q27" s="2" t="n">
        <x:f>C27</x:f>
        <x:v>6571</x:v>
      </x:c>
      <x:c r="R27" s="2" t="n">
        <x:f>D27</x:f>
        <x:v>7264</x:v>
      </x:c>
      <x:c r="S27" s="2" t="n">
        <x:f>E27</x:f>
        <x:v>4260</x:v>
      </x:c>
      <x:c r="T27" s="2" t="n">
        <x:f>F27</x:f>
        <x:v>7017</x:v>
      </x:c>
    </x:row>
    <x:row r="28" ht="30" customHeight="1">
      <x:c r="A28" s="2" t="str">
        <x:v>2025-10</x:v>
      </x:c>
      <x:c r="B28" s="8" t="n">
        <x:v>9928</x:v>
      </x:c>
      <x:c r="C28" s="8" t="n">
        <x:v>6632</x:v>
      </x:c>
      <x:c r="D28" s="8" t="n">
        <x:v>5502</x:v>
      </x:c>
      <x:c r="E28" s="8" t="n">
        <x:v>3998</x:v>
      </x:c>
      <x:c r="F28" s="8" t="n">
        <x:v>5375</x:v>
      </x:c>
      <x:c r="G28" s="2"/>
      <x:c r="H28" s="7" t="str">
        <x:v>模型</x:v>
      </x:c>
      <x:c r="I28" s="7" t="str">
        <x:v>月份</x:v>
      </x:c>
      <x:c r="J28" s="7" t="str">
        <x:v>记录数</x:v>
      </x:c>
      <x:c r="K28" s="7" t="str">
        <x:v>车系数</x:v>
      </x:c>
      <x:c r="L28" s="7" t="str">
        <x:v>MAE（辆）</x:v>
      </x:c>
      <x:c r="M28" s="7" t="str">
        <x:v>WMAPE</x:v>
      </x:c>
      <x:c r="N28" s="7" t="str">
        <x:v>净偏差</x:v>
      </x:c>
      <x:c r="O28" s="2" t="str">
        <x:f>RIGHT(LEFT(A28,4),2)&amp;"/"&amp;RIGHT(A28,2)</x:f>
        <x:v>25/10</x:v>
      </x:c>
      <x:c r="P28" s="2" t="n">
        <x:f>B28</x:f>
        <x:v>9928</x:v>
      </x:c>
      <x:c r="Q28" s="2" t="n">
        <x:f>C28</x:f>
        <x:v>6632</x:v>
      </x:c>
      <x:c r="R28" s="2" t="n">
        <x:f>D28</x:f>
        <x:v>5502</x:v>
      </x:c>
      <x:c r="S28" s="2" t="n">
        <x:f>E28</x:f>
        <x:v>3998</x:v>
      </x:c>
      <x:c r="T28" s="2" t="n">
        <x:f>F28</x:f>
        <x:v>5375</x:v>
      </x:c>
    </x:row>
    <x:row r="29" ht="22" customHeight="1">
      <x:c r="A29" s="2" t="str">
        <x:v>2025-11</x:v>
      </x:c>
      <x:c r="B29" s="8" t="n">
        <x:v>10416</x:v>
      </x:c>
      <x:c r="C29" s="8" t="n">
        <x:v>9027</x:v>
      </x:c>
      <x:c r="D29" s="8" t="n">
        <x:v>4141</x:v>
      </x:c>
      <x:c r="E29" s="8" t="n">
        <x:v>3720</x:v>
      </x:c>
      <x:c r="F29" s="8" t="n">
        <x:v>4440</x:v>
      </x:c>
      <x:c r="G29" s="2"/>
      <x:c r="H29" s="2" t="str">
        <x:v>沿用上月</x:v>
      </x:c>
      <x:c r="I29" s="2" t="str">
        <x:v>ALL</x:v>
      </x:c>
      <x:c r="J29" s="2" t="n">
        <x:v>360</x:v>
      </x:c>
      <x:c r="K29" s="2" t="n">
        <x:v>60</x:v>
      </x:c>
      <x:c r="L29" s="11" t="n">
        <x:v>405.94166666666666</x:v>
      </x:c>
      <x:c r="M29" s="9" t="n">
        <x:v>0.3935725558422251</x:v>
      </x:c>
      <x:c r="N29" s="9" t="n">
        <x:v>0.0891725062884782</x:v>
      </x:c>
      <x:c r="O29" s="2" t="str">
        <x:f>RIGHT(LEFT(A29,4),2)&amp;"/"&amp;RIGHT(A29,2)</x:f>
        <x:v>25/11</x:v>
      </x:c>
      <x:c r="P29" s="2" t="n">
        <x:f>B29</x:f>
        <x:v>10416</x:v>
      </x:c>
      <x:c r="Q29" s="2" t="n">
        <x:f>C29</x:f>
        <x:v>9027</x:v>
      </x:c>
      <x:c r="R29" s="2" t="n">
        <x:f>D29</x:f>
        <x:v>4141</x:v>
      </x:c>
      <x:c r="S29" s="2" t="n">
        <x:f>E29</x:f>
        <x:v>3720</x:v>
      </x:c>
      <x:c r="T29" s="2" t="n">
        <x:f>F29</x:f>
        <x:v>4440</x:v>
      </x:c>
    </x:row>
    <x:row r="30" ht="22" customHeight="1">
      <x:c r="A30" s="2" t="str">
        <x:v>2025-12</x:v>
      </x:c>
      <x:c r="B30" s="8" t="n">
        <x:v>10558</x:v>
      </x:c>
      <x:c r="C30" s="8" t="n">
        <x:v>7008</x:v>
      </x:c>
      <x:c r="D30" s="8" t="n">
        <x:v>8439</x:v>
      </x:c>
      <x:c r="E30" s="8" t="n">
        <x:v>3852</x:v>
      </x:c>
      <x:c r="F30" s="8" t="n">
        <x:v>4614</x:v>
      </x:c>
      <x:c r="G30" s="2"/>
      <x:c r="H30" s="2" t="str">
        <x:v>沿用上月</x:v>
      </x:c>
      <x:c r="I30" s="2" t="str">
        <x:v>2026-01</x:v>
      </x:c>
      <x:c r="J30" s="2" t="n">
        <x:v>60</x:v>
      </x:c>
      <x:c r="K30" s="2" t="n">
        <x:v>60</x:v>
      </x:c>
      <x:c r="L30" s="11" t="n">
        <x:v>717.15</x:v>
      </x:c>
      <x:c r="M30" s="9" t="n">
        <x:v>0.5957714887018166</x:v>
      </x:c>
      <x:c r="N30" s="9" t="n">
        <x:v>0.3413408285334515</x:v>
      </x:c>
      <x:c r="O30" s="2" t="str">
        <x:f>RIGHT(LEFT(A30,4),2)&amp;"/"&amp;RIGHT(A30,2)</x:f>
        <x:v>25/12</x:v>
      </x:c>
      <x:c r="P30" s="2" t="n">
        <x:f>B30</x:f>
        <x:v>10558</x:v>
      </x:c>
      <x:c r="Q30" s="2" t="n">
        <x:f>C30</x:f>
        <x:v>7008</x:v>
      </x:c>
      <x:c r="R30" s="2" t="n">
        <x:f>D30</x:f>
        <x:v>8439</x:v>
      </x:c>
      <x:c r="S30" s="2" t="n">
        <x:f>E30</x:f>
        <x:v>3852</x:v>
      </x:c>
      <x:c r="T30" s="2" t="n">
        <x:f>F30</x:f>
        <x:v>4614</x:v>
      </x:c>
    </x:row>
    <x:row r="31" ht="22" customHeight="1">
      <x:c r="A31" s="2" t="str">
        <x:v>2026-01</x:v>
      </x:c>
      <x:c r="B31" s="8" t="n">
        <x:v>6707</x:v>
      </x:c>
      <x:c r="C31" s="8" t="n">
        <x:v>3574</x:v>
      </x:c>
      <x:c r="D31" s="8" t="n">
        <x:v>2904</x:v>
      </x:c>
      <x:c r="E31" s="8" t="n">
        <x:v>4437</x:v>
      </x:c>
      <x:c r="F31" s="8" t="n">
        <x:v>2175</x:v>
      </x:c>
      <x:c r="G31" s="2"/>
      <x:c r="H31" s="2" t="str">
        <x:v>沿用上月</x:v>
      </x:c>
      <x:c r="I31" s="2" t="str">
        <x:v>2026-02</x:v>
      </x:c>
      <x:c r="J31" s="2" t="n">
        <x:v>60</x:v>
      </x:c>
      <x:c r="K31" s="2" t="n">
        <x:v>60</x:v>
      </x:c>
      <x:c r="L31" s="11" t="n">
        <x:v>522.3833333333333</x:v>
      </x:c>
      <x:c r="M31" s="9" t="n">
        <x:v>0.7050500506129794</x:v>
      </x:c>
      <x:c r="N31" s="9" t="n">
        <x:v>0.6246541446406478</x:v>
      </x:c>
      <x:c r="O31" s="2" t="str">
        <x:f>RIGHT(LEFT(A31,4),2)&amp;"/"&amp;RIGHT(A31,2)</x:f>
        <x:v>26/01</x:v>
      </x:c>
      <x:c r="P31" s="2" t="n">
        <x:f>B31</x:f>
        <x:v>6707</x:v>
      </x:c>
      <x:c r="Q31" s="2" t="n">
        <x:f>C31</x:f>
        <x:v>3574</x:v>
      </x:c>
      <x:c r="R31" s="2" t="n">
        <x:f>D31</x:f>
        <x:v>2904</x:v>
      </x:c>
      <x:c r="S31" s="2" t="n">
        <x:f>E31</x:f>
        <x:v>4437</x:v>
      </x:c>
      <x:c r="T31" s="2" t="n">
        <x:f>F31</x:f>
        <x:v>2175</x:v>
      </x:c>
    </x:row>
    <x:row r="32" ht="22" customHeight="1">
      <x:c r="A32" s="2" t="str">
        <x:v>2026-02</x:v>
      </x:c>
      <x:c r="B32" s="8" t="n">
        <x:v>4369</x:v>
      </x:c>
      <x:c r="C32" s="8" t="n">
        <x:v>3980</x:v>
      </x:c>
      <x:c r="D32" s="8" t="n">
        <x:v>3121</x:v>
      </x:c>
      <x:c r="E32" s="8" t="n">
        <x:v>1794</x:v>
      </x:c>
      <x:c r="F32" s="8" t="n">
        <x:v>1712</x:v>
      </x:c>
      <x:c r="G32" s="2"/>
      <x:c r="H32" s="2" t="str">
        <x:v>沿用上月</x:v>
      </x:c>
      <x:c r="I32" s="2" t="str">
        <x:v>2026-03</x:v>
      </x:c>
      <x:c r="J32" s="2" t="n">
        <x:v>60</x:v>
      </x:c>
      <x:c r="K32" s="2" t="n">
        <x:v>60</x:v>
      </x:c>
      <x:c r="L32" s="11" t="n">
        <x:v>494.8666666666667</x:v>
      </x:c>
      <x:c r="M32" s="9" t="n">
        <x:v>0.4205725293559398</x:v>
      </x:c>
      <x:c r="N32" s="9" t="n">
        <x:v>-0.3703168600121814</x:v>
      </x:c>
      <x:c r="O32" s="2" t="str">
        <x:f>RIGHT(LEFT(A32,4),2)&amp;"/"&amp;RIGHT(A32,2)</x:f>
        <x:v>26/02</x:v>
      </x:c>
      <x:c r="P32" s="2" t="n">
        <x:f>B32</x:f>
        <x:v>4369</x:v>
      </x:c>
      <x:c r="Q32" s="2" t="n">
        <x:f>C32</x:f>
        <x:v>3980</x:v>
      </x:c>
      <x:c r="R32" s="2" t="n">
        <x:f>D32</x:f>
        <x:v>3121</x:v>
      </x:c>
      <x:c r="S32" s="2" t="n">
        <x:f>E32</x:f>
        <x:v>1794</x:v>
      </x:c>
      <x:c r="T32" s="2" t="n">
        <x:f>F32</x:f>
        <x:v>1712</x:v>
      </x:c>
    </x:row>
    <x:row r="33" ht="22" customHeight="1">
      <x:c r="A33" s="2" t="str">
        <x:v>2026-03</x:v>
      </x:c>
      <x:c r="B33" s="8" t="n">
        <x:v>6447</x:v>
      </x:c>
      <x:c r="C33" s="8" t="n">
        <x:v>5511</x:v>
      </x:c>
      <x:c r="D33" s="8" t="n">
        <x:v>4307</x:v>
      </x:c>
      <x:c r="E33" s="8" t="n">
        <x:v>4491</x:v>
      </x:c>
      <x:c r="F33" s="8" t="n">
        <x:v>2638</x:v>
      </x:c>
      <x:c r="G33" s="2"/>
      <x:c r="H33" s="2" t="str">
        <x:v>沿用上月</x:v>
      </x:c>
      <x:c r="I33" s="2" t="str">
        <x:v>2026-04</x:v>
      </x:c>
      <x:c r="J33" s="2" t="n">
        <x:v>60</x:v>
      </x:c>
      <x:c r="K33" s="2" t="n">
        <x:v>60</x:v>
      </x:c>
      <x:c r="L33" s="11" t="n">
        <x:v>280.28333333333336</x:v>
      </x:c>
      <x:c r="M33" s="9" t="n">
        <x:v>0.2750662435800974</x:v>
      </x:c>
      <x:c r="N33" s="9" t="n">
        <x:v>0.1547482743956295</x:v>
      </x:c>
      <x:c r="O33" s="2" t="str">
        <x:f>RIGHT(LEFT(A33,4),2)&amp;"/"&amp;RIGHT(A33,2)</x:f>
        <x:v>26/03</x:v>
      </x:c>
      <x:c r="P33" s="2" t="n">
        <x:f>B33</x:f>
        <x:v>6447</x:v>
      </x:c>
      <x:c r="Q33" s="2" t="n">
        <x:f>C33</x:f>
        <x:v>5511</x:v>
      </x:c>
      <x:c r="R33" s="2" t="n">
        <x:f>D33</x:f>
        <x:v>4307</x:v>
      </x:c>
      <x:c r="S33" s="2" t="n">
        <x:f>E33</x:f>
        <x:v>4491</x:v>
      </x:c>
      <x:c r="T33" s="2" t="n">
        <x:f>F33</x:f>
        <x:v>2638</x:v>
      </x:c>
    </x:row>
    <x:row r="34" ht="22" customHeight="1">
      <x:c r="A34" s="2" t="str">
        <x:v>2026-04</x:v>
      </x:c>
      <x:c r="B34" s="8" t="n">
        <x:v>6122</x:v>
      </x:c>
      <x:c r="C34" s="8" t="n">
        <x:v>6995</x:v>
      </x:c>
      <x:c r="D34" s="8" t="n">
        <x:v>4797</x:v>
      </x:c>
      <x:c r="E34" s="8" t="n">
        <x:v>3198</x:v>
      </x:c>
      <x:c r="F34" s="8" t="n">
        <x:v>2355</x:v>
      </x:c>
      <x:c r="G34" s="2"/>
      <x:c r="H34" s="2" t="str">
        <x:v>沿用上月</x:v>
      </x:c>
      <x:c r="I34" s="2" t="str">
        <x:v>2026-05</x:v>
      </x:c>
      <x:c r="J34" s="2" t="n">
        <x:v>60</x:v>
      </x:c>
      <x:c r="K34" s="2" t="n">
        <x:v>60</x:v>
      </x:c>
      <x:c r="L34" s="11" t="n">
        <x:v>200.4</x:v>
      </x:c>
      <x:c r="M34" s="9" t="n">
        <x:v>0.2033416762497463</x:v>
      </x:c>
      <x:c r="N34" s="9" t="n">
        <x:v>0.0339241020090644</x:v>
      </x:c>
      <x:c r="O34" s="2" t="str">
        <x:f>RIGHT(LEFT(A34,4),2)&amp;"/"&amp;RIGHT(A34,2)</x:f>
        <x:v>26/04</x:v>
      </x:c>
      <x:c r="P34" s="2" t="n">
        <x:f>B34</x:f>
        <x:v>6122</x:v>
      </x:c>
      <x:c r="Q34" s="2" t="n">
        <x:f>C34</x:f>
        <x:v>6995</x:v>
      </x:c>
      <x:c r="R34" s="2" t="n">
        <x:f>D34</x:f>
        <x:v>4797</x:v>
      </x:c>
      <x:c r="S34" s="2" t="n">
        <x:f>E34</x:f>
        <x:v>3198</x:v>
      </x:c>
      <x:c r="T34" s="2" t="n">
        <x:f>F34</x:f>
        <x:v>2355</x:v>
      </x:c>
    </x:row>
    <x:row r="35" ht="22" customHeight="1">
      <x:c r="A35" s="2" t="str">
        <x:v>2026-05</x:v>
      </x:c>
      <x:c r="B35" s="8" t="n">
        <x:v>5662</x:v>
      </x:c>
      <x:c r="C35" s="8" t="n">
        <x:v>4954</x:v>
      </x:c>
      <x:c r="D35" s="8" t="n">
        <x:v>6145</x:v>
      </x:c>
      <x:c r="E35" s="8" t="n">
        <x:v>2952</x:v>
      </x:c>
      <x:c r="F35" s="8" t="n">
        <x:v>2683</x:v>
      </x:c>
      <x:c r="G35" s="2"/>
      <x:c r="H35" s="2" t="str">
        <x:v>沿用上月</x:v>
      </x:c>
      <x:c r="I35" s="2" t="str">
        <x:v>2026-06</x:v>
      </x:c>
      <x:c r="J35" s="2" t="n">
        <x:v>60</x:v>
      </x:c>
      <x:c r="K35" s="2" t="n">
        <x:v>60</x:v>
      </x:c>
      <x:c r="L35" s="11" t="n">
        <x:v>220.56666666666663</x:v>
      </x:c>
      <x:c r="M35" s="9" t="n">
        <x:v>0.207540068374996</x:v>
      </x:c>
      <x:c r="N35" s="9" t="n">
        <x:v>-0.0726719568422043</x:v>
      </x:c>
      <x:c r="O35" s="2" t="str">
        <x:f>RIGHT(LEFT(A35,4),2)&amp;"/"&amp;RIGHT(A35,2)</x:f>
        <x:v>26/05</x:v>
      </x:c>
      <x:c r="P35" s="2" t="n">
        <x:f>B35</x:f>
        <x:v>5662</x:v>
      </x:c>
      <x:c r="Q35" s="2" t="n">
        <x:f>C35</x:f>
        <x:v>4954</x:v>
      </x:c>
      <x:c r="R35" s="2" t="n">
        <x:f>D35</x:f>
        <x:v>6145</x:v>
      </x:c>
      <x:c r="S35" s="2" t="n">
        <x:f>E35</x:f>
        <x:v>2952</x:v>
      </x:c>
      <x:c r="T35" s="2" t="n">
        <x:f>F35</x:f>
        <x:v>2683</x:v>
      </x:c>
    </x:row>
    <x:row r="36" ht="22" customHeight="1">
      <x:c r="A36" s="2" t="str">
        <x:v>2026-06</x:v>
      </x:c>
      <x:c r="B36" s="8" t="n">
        <x:v>4920</x:v>
      </x:c>
      <x:c r="C36" s="8" t="n">
        <x:v>6926</x:v>
      </x:c>
      <x:c r="D36" s="8" t="n">
        <x:v>6952</x:v>
      </x:c>
      <x:c r="E36" s="8" t="n">
        <x:v>2781</x:v>
      </x:c>
      <x:c r="F36" s="8" t="n">
        <x:v>3612</x:v>
      </x:c>
      <x:c r="G36" s="2"/>
      <x:c r="H36" s="2" t="str">
        <x:v>近三月均值</x:v>
      </x:c>
      <x:c r="I36" s="2" t="str">
        <x:v>ALL</x:v>
      </x:c>
      <x:c r="J36" s="2" t="n">
        <x:v>360</x:v>
      </x:c>
      <x:c r="K36" s="2" t="n">
        <x:v>60</x:v>
      </x:c>
      <x:c r="L36" s="11" t="n">
        <x:v>388.8083333333333</x:v>
      </x:c>
      <x:c r="M36" s="9" t="n">
        <x:v>0.3769612780557695</x:v>
      </x:c>
      <x:c r="N36" s="9" t="n">
        <x:v>0.1389434997513335</x:v>
      </x:c>
      <x:c r="O36" s="2" t="str">
        <x:f>RIGHT(LEFT(A36,4),2)&amp;"/"&amp;RIGHT(A36,2)</x:f>
        <x:v>26/06</x:v>
      </x:c>
      <x:c r="P36" s="2" t="n">
        <x:f>B36</x:f>
        <x:v>4920</x:v>
      </x:c>
      <x:c r="Q36" s="2" t="n">
        <x:f>C36</x:f>
        <x:v>6926</x:v>
      </x:c>
      <x:c r="R36" s="2" t="n">
        <x:f>D36</x:f>
        <x:v>6952</x:v>
      </x:c>
      <x:c r="S36" s="2" t="n">
        <x:f>E36</x:f>
        <x:v>2781</x:v>
      </x:c>
      <x:c r="T36" s="2" t="n">
        <x:f>F36</x:f>
        <x:v>3612</x:v>
      </x:c>
    </x:row>
    <x:row r="37" ht="22" customHeight="1">
      <x:c r="A37" s="2"/>
      <x:c r="B37" s="2"/>
      <x:c r="C37" s="2"/>
      <x:c r="D37" s="2"/>
      <x:c r="E37" s="2"/>
      <x:c r="F37" s="2"/>
      <x:c r="G37" s="2"/>
      <x:c r="H37" s="2" t="str">
        <x:v>近三月均值</x:v>
      </x:c>
      <x:c r="I37" s="2" t="str">
        <x:v>2026-01</x:v>
      </x:c>
      <x:c r="J37" s="2" t="n">
        <x:v>60</x:v>
      </x:c>
      <x:c r="K37" s="2" t="n">
        <x:v>60</x:v>
      </x:c>
      <x:c r="L37" s="11" t="n">
        <x:v>619.4111111111112</x:v>
      </x:c>
      <x:c r="M37" s="9" t="n">
        <x:v>0.5145750258455177</x:v>
      </x:c>
      <x:c r="N37" s="9" t="n">
        <x:v>0.1643313395362576</x:v>
      </x:c>
      <x:c r="O37" s="2"/>
      <x:c r="P37" s="2"/>
      <x:c r="Q37" s="2"/>
      <x:c r="R37" s="2"/>
      <x:c r="S37" s="2"/>
      <x:c r="T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 t="str">
        <x:v>近三月均值</x:v>
      </x:c>
      <x:c r="I38" s="2" t="str">
        <x:v>2026-02</x:v>
      </x:c>
      <x:c r="J38" s="2" t="n">
        <x:v>60</x:v>
      </x:c>
      <x:c r="K38" s="2" t="n">
        <x:v>60</x:v>
      </x:c>
      <x:c r="L38" s="11" t="n">
        <x:v>673.0833333333333</x:v>
      </x:c>
      <x:c r="M38" s="9" t="n">
        <x:v>0.908446743898324</x:v>
      </x:c>
      <x:c r="N38" s="9" t="n">
        <x:v>0.8636373861207961</x:v>
      </x:c>
      <x:c r="O38" s="2"/>
      <x:c r="P38" s="2"/>
      <x:c r="Q38" s="2"/>
      <x:c r="R38" s="2"/>
      <x:c r="S38" s="2"/>
      <x:c r="T38" s="2"/>
    </x:row>
    <x:row r="39" ht="22" customHeight="1">
      <x:c r="A39" s="2" t="str">
        <x:v>全部销量明细保存在 data/processed/fact_sales.csv。图表中的聚合输入由 Python 与 MySQL 对账。</x:v>
      </x:c>
      <x:c r="B39" s="2"/>
      <x:c r="C39" s="2"/>
      <x:c r="D39" s="2"/>
      <x:c r="E39" s="2"/>
      <x:c r="F39" s="2"/>
      <x:c r="G39" s="2"/>
      <x:c r="H39" s="2" t="str">
        <x:v>近三月均值</x:v>
      </x:c>
      <x:c r="I39" s="2" t="str">
        <x:v>2026-03</x:v>
      </x:c>
      <x:c r="J39" s="2" t="n">
        <x:v>60</x:v>
      </x:c>
      <x:c r="K39" s="2" t="n">
        <x:v>60</x:v>
      </x:c>
      <x:c r="L39" s="11" t="n">
        <x:v>219.2166666666667</x:v>
      </x:c>
      <x:c r="M39" s="9" t="n">
        <x:v>0.1863057550390232</x:v>
      </x:c>
      <x:c r="N39" s="9" t="n">
        <x:v>0.0083051223577293</x:v>
      </x:c>
      <x:c r="O39" s="2"/>
      <x:c r="P39" s="2"/>
      <x:c r="Q39" s="2"/>
      <x:c r="R39" s="2"/>
      <x:c r="S39" s="2"/>
      <x:c r="T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 t="str">
        <x:v>近三月均值</x:v>
      </x:c>
      <x:c r="I40" s="2" t="str">
        <x:v>2026-04</x:v>
      </x:c>
      <x:c r="J40" s="2" t="n">
        <x:v>60</x:v>
      </x:c>
      <x:c r="K40" s="2" t="n">
        <x:v>60</x:v>
      </x:c>
      <x:c r="L40" s="11" t="n">
        <x:v>305.3444444444445</x:v>
      </x:c>
      <x:c r="M40" s="9" t="n">
        <x:v>0.2996608764870729</x:v>
      </x:c>
      <x:c r="N40" s="9" t="n">
        <x:v>0.021067094114953</x:v>
      </x:c>
      <x:c r="O40" s="2"/>
      <x:c r="P40" s="2"/>
      <x:c r="Q40" s="2"/>
      <x:c r="R40" s="2"/>
      <x:c r="S40" s="2"/>
      <x:c r="T40" s="2"/>
    </x:row>
    <x:row r="41" ht="22" customHeight="1">
      <x:c r="A41" s="2" t="str">
        <x:v>零值保留；零基数同比显示 n.a.；排名提升=基期排名−本期排名。</x:v>
      </x:c>
      <x:c r="B41" s="2"/>
      <x:c r="C41" s="2"/>
      <x:c r="D41" s="2"/>
      <x:c r="E41" s="2"/>
      <x:c r="F41" s="2"/>
      <x:c r="G41" s="2"/>
      <x:c r="H41" s="2" t="str">
        <x:v>近三月均值</x:v>
      </x:c>
      <x:c r="I41" s="2" t="str">
        <x:v>2026-05</x:v>
      </x:c>
      <x:c r="J41" s="2" t="n">
        <x:v>60</x:v>
      </x:c>
      <x:c r="K41" s="2" t="n">
        <x:v>60</x:v>
      </x:c>
      <x:c r="L41" s="11" t="n">
        <x:v>218.4222222222222</x:v>
      </x:c>
      <x:c r="M41" s="9" t="n">
        <x:v>0.221628447090126</x:v>
      </x:c>
      <x:c r="N41" s="9" t="n">
        <x:v>-0.0067870752440867</x:v>
      </x:c>
      <x:c r="O41" s="2"/>
      <x:c r="P41" s="2"/>
      <x:c r="Q41" s="2"/>
      <x:c r="R41" s="2"/>
      <x:c r="S41" s="2"/>
      <x:c r="T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 t="str">
        <x:v>近三月均值</x:v>
      </x:c>
      <x:c r="I42" s="2" t="str">
        <x:v>2026-06</x:v>
      </x:c>
      <x:c r="J42" s="2" t="n">
        <x:v>60</x:v>
      </x:c>
      <x:c r="K42" s="2" t="n">
        <x:v>60</x:v>
      </x:c>
      <x:c r="L42" s="11" t="n">
        <x:v>297.3722222222222</x:v>
      </x:c>
      <x:c r="M42" s="9" t="n">
        <x:v>0.2798095118610754</x:v>
      </x:c>
      <x:c r="N42" s="9" t="n">
        <x:v>-0.0022425744126964</x:v>
      </x:c>
      <x:c r="O42" s="2"/>
      <x:c r="P42" s="2"/>
      <x:c r="Q42" s="2"/>
      <x:c r="R42" s="2"/>
      <x:c r="S42" s="2"/>
      <x:c r="T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 t="str">
        <x:v>预测样本：2025下半年有正销量的60个MPV车系，2026上半年共360条车系月记录。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30" customHeight="1">
      <x:c r="A47" s="2"/>
      <x:c r="B47" s="2"/>
      <x:c r="C47" s="2"/>
      <x:c r="D47" s="2"/>
      <x:c r="E47" s="2"/>
      <x:c r="F47" s="2"/>
      <x:c r="G47" s="2"/>
      <x:c r="H47" s="7" t="str">
        <x:v>月份</x:v>
      </x:c>
      <x:c r="I47" s="7" t="str">
        <x:v>沿用上月</x:v>
      </x:c>
      <x:c r="J47" s="7" t="str">
        <x:v>近三月均值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 t="str">
        <x:v>2026-01</x:v>
      </x:c>
      <x:c r="I48" s="9" t="n">
        <x:f>M30</x:f>
        <x:v>0.5957714887018166</x:v>
      </x:c>
      <x:c r="J48" s="9" t="n">
        <x:f>M37</x:f>
        <x:v>0.5145750258455177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 t="str">
        <x:v>2026-02</x:v>
      </x:c>
      <x:c r="I49" s="9" t="n">
        <x:f>M31</x:f>
        <x:v>0.7050500506129794</x:v>
      </x:c>
      <x:c r="J49" s="9" t="n">
        <x:f>M38</x:f>
        <x:v>0.908446743898324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 t="str">
        <x:v>2026-03</x:v>
      </x:c>
      <x:c r="I50" s="9" t="n">
        <x:f>M32</x:f>
        <x:v>0.4205725293559398</x:v>
      </x:c>
      <x:c r="J50" s="9" t="n">
        <x:f>M39</x:f>
        <x:v>0.1863057550390232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 t="str">
        <x:v>2026-04</x:v>
      </x:c>
      <x:c r="I51" s="9" t="n">
        <x:f>M33</x:f>
        <x:v>0.2750662435800974</x:v>
      </x:c>
      <x:c r="J51" s="9" t="n">
        <x:f>M40</x:f>
        <x:v>0.2996608764870729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 t="str">
        <x:v>2026-05</x:v>
      </x:c>
      <x:c r="I52" s="9" t="n">
        <x:f>M34</x:f>
        <x:v>0.2033416762497463</x:v>
      </x:c>
      <x:c r="J52" s="9" t="n">
        <x:f>M41</x:f>
        <x:v>0.221628447090126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 t="str">
        <x:v>2026-06</x:v>
      </x:c>
      <x:c r="I53" s="9" t="n">
        <x:f>M35</x:f>
        <x:v>0.207540068374996</x:v>
      </x:c>
      <x:c r="J53" s="9" t="n">
        <x:f>M42</x:f>
        <x:v>0.2798095118610754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 t="str">
        <x:v>品牌</x:v>
      </x:c>
      <x:c r="I56" s="2" t="str">
        <x:v>2025销量（辆）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 t="str">
        <x:f>'品牌指标'!C330</x:f>
        <x:v>丰田</x:v>
      </x:c>
      <x:c r="I57" s="2" t="n">
        <x:f>'品牌指标'!E330</x:f>
        <x:v>162793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 t="str">
        <x:f>'品牌指标'!C331</x:f>
        <x:v>别克</x:v>
      </x:c>
      <x:c r="I58" s="2" t="n">
        <x:f>'品牌指标'!E331</x:f>
        <x:v>121949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 t="str">
        <x:f>'品牌指标'!C332</x:f>
        <x:v>广汽传祺</x:v>
      </x:c>
      <x:c r="I59" s="2" t="n">
        <x:f>'品牌指标'!E332</x:f>
        <x:v>110426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 t="str">
        <x:f>'品牌指标'!C333</x:f>
        <x:v>腾势</x:v>
      </x:c>
      <x:c r="I60" s="2" t="n">
        <x:f>'品牌指标'!E333</x:f>
        <x:v>92988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 t="str">
        <x:f>'品牌指标'!C334</x:f>
        <x:v>岚图汽车</x:v>
      </x:c>
      <x:c r="I61" s="2" t="n">
        <x:f>'品牌指标'!E334</x:f>
        <x:v>80248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 t="str">
        <x:f>'品牌指标'!C335</x:f>
        <x:v>魏牌</x:v>
      </x:c>
      <x:c r="I62" s="2" t="n">
        <x:f>'品牌指标'!E335</x:f>
        <x:v>59449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 t="str">
        <x:f>'品牌指标'!C336</x:f>
        <x:v>五菱</x:v>
      </x:c>
      <x:c r="I63" s="2" t="n">
        <x:f>'品牌指标'!E336</x:f>
        <x:v>38953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 t="str">
        <x:f>'品牌指标'!C337</x:f>
        <x:v>比亚迪</x:v>
      </x:c>
      <x:c r="I64" s="2" t="n">
        <x:f>'品牌指标'!E337</x:f>
        <x:v>27549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62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数据核验与限制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0" customHeight="1">
      <x:c r="A5" s="7" t="str">
        <x:v>检查项</x:v>
      </x:c>
      <x:c r="B5" s="7" t="str">
        <x:v>结果</x:v>
      </x:c>
      <x:c r="C5" s="7" t="str">
        <x:v>处理说明</x:v>
      </x:c>
      <x:c r="D5" s="2"/>
      <x:c r="E5" s="2"/>
      <x:c r="F5" s="2"/>
    </x:row>
    <x:row r="6" ht="22" customHeight="1">
      <x:c r="A6" s="2" t="str">
        <x:v>销量记录</x:v>
      </x:c>
      <x:c r="B6" s="2" t="n">
        <x:v>54918</x:v>
      </x:c>
      <x:c r="C6" s="2" t="str">
        <x:v>固定快照，不代表全部汽车市场</x:v>
      </x:c>
      <x:c r="D6" s="2"/>
      <x:c r="E6" s="2"/>
      <x:c r="F6" s="2"/>
    </x:row>
    <x:row r="7" ht="22" customHeight="1">
      <x:c r="A7" s="2" t="str">
        <x:v>车系</x:v>
      </x:c>
      <x:c r="B7" s="2" t="n">
        <x:v>1017</x:v>
      </x:c>
      <x:c r="C7" s="2" t="str">
        <x:v>其中487个车系曾有正销量</x:v>
      </x:c>
      <x:c r="D7" s="2"/>
      <x:c r="E7" s="2"/>
      <x:c r="F7" s="2"/>
    </x:row>
    <x:row r="8" ht="22" customHeight="1">
      <x:c r="A8" s="2" t="str">
        <x:v>重复主键</x:v>
      </x:c>
      <x:c r="B8" s="2" t="n">
        <x:v>0</x:v>
      </x:c>
      <x:c r="C8" s="2" t="str">
        <x:v>车系×月份唯一</x:v>
      </x:c>
      <x:c r="D8" s="2"/>
      <x:c r="E8" s="2"/>
      <x:c r="F8" s="2"/>
    </x:row>
    <x:row r="9" ht="22" customHeight="1">
      <x:c r="A9" s="2" t="str">
        <x:v>全局月份网格缺口</x:v>
      </x:c>
      <x:c r="B9" s="2" t="n">
        <x:v>0</x:v>
      </x:c>
      <x:c r="C9" s="2" t="str">
        <x:v>完整网格不等于来源记录完整</x:v>
      </x:c>
      <x:c r="D9" s="2"/>
      <x:c r="E9" s="2"/>
      <x:c r="F9" s="2"/>
    </x:row>
    <x:row r="10" ht="22" customHeight="1">
      <x:c r="A10" s="2" t="str">
        <x:v>缺失销量</x:v>
      </x:c>
      <x:c r="B10" s="2" t="n">
        <x:v>0</x:v>
      </x:c>
      <x:c r="C10" s="2" t="str">
        <x:v>不把未知缺失补零</x:v>
      </x:c>
      <x:c r="D10" s="2"/>
      <x:c r="E10" s="2"/>
      <x:c r="F10" s="2"/>
    </x:row>
    <x:row r="11" ht="22" customHeight="1">
      <x:c r="A11" s="2" t="str">
        <x:v>负销量</x:v>
      </x:c>
      <x:c r="B11" s="2" t="n">
        <x:v>0</x:v>
      </x:c>
      <x:c r="C11" s="2" t="str">
        <x:v>当前快照未发现</x:v>
      </x:c>
      <x:c r="D11" s="2"/>
      <x:c r="E11" s="2"/>
      <x:c r="F11" s="2"/>
    </x:row>
    <x:row r="12" ht="22" customHeight="1">
      <x:c r="A12" s="2" t="str">
        <x:v>零销量记录</x:v>
      </x:c>
      <x:c r="B12" s="2" t="n">
        <x:v>38693</x:v>
      </x:c>
      <x:c r="C12" s="2" t="str">
        <x:v>保留并分类，未证实全部为真实零销量</x:v>
      </x:c>
      <x:c r="D12" s="2"/>
      <x:c r="E12" s="2"/>
      <x:c r="F12" s="2"/>
    </x:row>
    <x:row r="13" ht="22" customHeight="1">
      <x:c r="A13" s="2" t="str">
        <x:v>全期零销量车系</x:v>
      </x:c>
      <x:c r="B13" s="2" t="n">
        <x:v>530</x:v>
      </x:c>
      <x:c r="C13" s="2" t="str">
        <x:v>单独披露，不参与正销量排名</x:v>
      </x:c>
      <x:c r="D13" s="2"/>
      <x:c r="E13" s="2"/>
      <x:c r="F13" s="2"/>
    </x:row>
    <x:row r="14" ht="22" customHeight="1">
      <x:c r="A14" s="2" t="str">
        <x:v>波动审查标记</x:v>
      </x:c>
      <x:c r="B14" s="2" t="n">
        <x:v>568</x:v>
      </x:c>
      <x:c r="C14" s="2" t="str">
        <x:v>阈值筛查，未当作错误删除</x:v>
      </x:c>
      <x:c r="D14" s="2"/>
      <x:c r="E14" s="2"/>
      <x:c r="F14" s="2"/>
    </x:row>
    <x:row r="15" ht="22" customHeight="1">
      <x:c r="A15" s="2" t="str">
        <x:v>配置记录</x:v>
      </x:c>
      <x:c r="B15" s="2" t="n">
        <x:v>2084</x:v>
      </x:c>
      <x:c r="C15" s="2" t="str">
        <x:v>仅产品画像，不做因果归因</x:v>
      </x:c>
      <x:c r="D15" s="2"/>
      <x:c r="E15" s="2"/>
      <x:c r="F15" s="2"/>
    </x:row>
    <x:row r="16" ht="22" customHeight="1">
      <x:c r="A16" s="2" t="str">
        <x:v>匹配配置车系</x:v>
      </x:c>
      <x:c r="B16" s="2" t="n">
        <x:v>379</x:v>
      </x:c>
      <x:c r="C16" s="2" t="str">
        <x:v>去空格/大小写标准化后唯一名称匹配</x:v>
      </x:c>
      <x:c r="D16" s="2"/>
      <x:c r="E16" s="2"/>
      <x:c r="F16" s="2"/>
    </x:row>
    <x:row r="17" ht="22" customHeight="1">
      <x:c r="A17" s="2" t="str">
        <x:v>名称年款晚于记录年</x:v>
      </x:c>
      <x:c r="B17" s="2" t="n">
        <x:v>146</x:v>
      </x:c>
      <x:c r="C17" s="2" t="str">
        <x:v>标记历史可用性风险</x:v>
      </x:c>
      <x:c r="D17" s="2"/>
      <x:c r="E17" s="2"/>
      <x:c r="F17" s="2"/>
    </x:row>
    <x:row r="18" ht="22" customHeight="1">
      <x:c r="A18" s="2" t="str">
        <x:v>同源抽查记录</x:v>
      </x:c>
      <x:c r="B18" s="2" t="n">
        <x:v>13</x:v>
      </x:c>
      <x:c r="C18" s="2" t="str">
        <x:v>定向抽样，13/13一致，非总体准确率</x:v>
      </x:c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 t="str">
        <x:v>抽查来源及逐条记录见 results/source_spot_checks.csv。</x:v>
      </x:c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 t="str">
        <x:v>不能把快照配置归类成真实能源销量结构：车系可能同时有多种动力，配置仅代表单条记录。</x:v>
      </x:c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 t="str">
        <x:v>不可将本项目份额表述为全国市场份额，也不能据此宣称配置导致增长。</x:v>
      </x:c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  <x:row r="41" ht="22" customHeight="1">
      <x:c r="A41" s="2"/>
      <x:c r="B41" s="2"/>
      <x:c r="C41" s="2"/>
      <x:c r="D41" s="2"/>
      <x:c r="E41" s="2"/>
      <x:c r="F41" s="2"/>
    </x:row>
    <x:row r="42" ht="22" customHeight="1">
      <x:c r="A42" s="2"/>
      <x:c r="B42" s="2"/>
      <x:c r="C42" s="2"/>
      <x:c r="D42" s="2"/>
      <x:c r="E42" s="2"/>
      <x:c r="F42" s="2"/>
    </x:row>
  </x:sheetData>
  <x:pageMargins left="0.7" right="0.7" top="0.75" bottom="0.75" header="0.3" footer="0.3"/>
</x:worksheet>
</file>